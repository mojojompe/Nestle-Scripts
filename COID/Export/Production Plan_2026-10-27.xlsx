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pivotTables/pivotTable1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nestle-my.sharepoint.com/personal/emmanuel_jompe_ng_nestle_com/Documents/Documents/All_Locations_for Emmanuel/COID/Export/"/>
    </mc:Choice>
  </mc:AlternateContent>
  <xr:revisionPtr revIDLastSave="14" documentId="11_8BA8B19176C639843D22B11B085819437DD5BDDB" xr6:coauthVersionLast="47" xr6:coauthVersionMax="47" xr10:uidLastSave="{BCA26146-B1D5-46F5-9F87-E593111E8505}"/>
  <bookViews>
    <workbookView xWindow="-120" yWindow="-120" windowWidth="29040" windowHeight="18240" activeTab="1" xr2:uid="{00000000-000D-0000-FFFF-FFFF00000000}"/>
  </bookViews>
  <sheets>
    <sheet name="Dashboard" sheetId="1" r:id="rId1"/>
    <sheet name="WTD_Pivot" sheetId="2" r:id="rId2"/>
    <sheet name="Source_Data" sheetId="3" r:id="rId3"/>
    <sheet name="Pivot_Source" sheetId="4" state="veryHidden" r:id="rId4"/>
    <sheet name="Chart_Data" sheetId="5" r:id="rId5"/>
    <sheet name="Breakdown" sheetId="6" r:id="rId6"/>
    <sheet name="Exceptions" sheetId="7" r:id="rId7"/>
  </sheets>
  <definedNames>
    <definedName name="_xlnm._FilterDatabase" localSheetId="5" hidden="1">Breakdown!$A$1:$H$17</definedName>
    <definedName name="_xlnm._FilterDatabase" localSheetId="6" hidden="1">Exceptions!$A$1:$P$12</definedName>
    <definedName name="_xlnm._FilterDatabase" localSheetId="2" hidden="1">Source_Data!$A$1:$P$42</definedName>
  </definedNames>
  <calcPr calcId="0"/>
  <pivotCaches>
    <pivotCache cacheId="6" r:id="rId8"/>
  </pivotCaches>
</workbook>
</file>

<file path=xl/sharedStrings.xml><?xml version="1.0" encoding="utf-8"?>
<sst xmlns="http://schemas.openxmlformats.org/spreadsheetml/2006/main" count="1358" uniqueCount="163">
  <si>
    <t>PRODUCTION PLAN vs ACHIEVED (WTD) (Tons)</t>
  </si>
  <si>
    <t>Period: 2026-10-26 to 2026-10-26 | PI01 production orders only | HALB kilograms divided by 1,000; FERT case weight from SKU grams / 1,000,000 | Exceptions: 11</t>
  </si>
  <si>
    <t>Order</t>
  </si>
  <si>
    <t>Material</t>
  </si>
  <si>
    <t>Order Type</t>
  </si>
  <si>
    <t>Production Supervisor</t>
  </si>
  <si>
    <t>Plant</t>
  </si>
  <si>
    <t>Planned Quantity</t>
  </si>
  <si>
    <t>Unit of measure</t>
  </si>
  <si>
    <t>Basic Start Date</t>
  </si>
  <si>
    <t>Basic finish date</t>
  </si>
  <si>
    <t>System Status</t>
  </si>
  <si>
    <t>Material Description</t>
  </si>
  <si>
    <t>Delivered Quantity</t>
  </si>
  <si>
    <t>Material Type</t>
  </si>
  <si>
    <t>Product Family</t>
  </si>
  <si>
    <t>Tons per Unit</t>
  </si>
  <si>
    <t>Exception Reason</t>
  </si>
  <si>
    <t>40266412</t>
  </si>
  <si>
    <t>103376187</t>
  </si>
  <si>
    <t>YGT3</t>
  </si>
  <si>
    <t>001</t>
  </si>
  <si>
    <t>4981</t>
  </si>
  <si>
    <t>KG</t>
  </si>
  <si>
    <t>2026-10-26</t>
  </si>
  <si>
    <t>2026-10-27 00:00:00</t>
  </si>
  <si>
    <t>TECO CNF  DLV  PRC  BCRQ CRFI GMPS MANC*</t>
  </si>
  <si>
    <t>ZRWK MAGGI Cube EHP Fortiified Mass 4981</t>
  </si>
  <si>
    <t>FERT</t>
  </si>
  <si>
    <t>Standard Cubes</t>
  </si>
  <si>
    <t>Excluded order type (chart includes PI01 production orders only)</t>
  </si>
  <si>
    <t>40264564</t>
  </si>
  <si>
    <t>12476359</t>
  </si>
  <si>
    <t>PI01</t>
  </si>
  <si>
    <t>CS</t>
  </si>
  <si>
    <t>2026-10-26 00:00:00</t>
  </si>
  <si>
    <t>TECO MSPT CNF  DLV  PRC  BCRQ CRFI EXPL*</t>
  </si>
  <si>
    <t>MAGGI Cube 5(500x4g) EHP NILE</t>
  </si>
  <si>
    <t>40264695</t>
  </si>
  <si>
    <t>12481626</t>
  </si>
  <si>
    <t>REL  MSPT CRCR CNF  PRC  BCRQ EXPL EXTS*</t>
  </si>
  <si>
    <t>MAGGI Cube 20(100 x 4g) EHP NILE 3</t>
  </si>
  <si>
    <t>40264696</t>
  </si>
  <si>
    <t>40264758</t>
  </si>
  <si>
    <t>CRTD MSPT PRC  BCRQ EXPL EXTS SETC</t>
  </si>
  <si>
    <t>40264822</t>
  </si>
  <si>
    <t>40264842</t>
  </si>
  <si>
    <t>40265630</t>
  </si>
  <si>
    <t>REL  MSPT CRCR CNF  DLV  PRC  BCRQ EXPL*</t>
  </si>
  <si>
    <t>40264265</t>
  </si>
  <si>
    <t>12494203</t>
  </si>
  <si>
    <t>Maggi Cube 60(20x4g) EHP-Fort NG Nile CP</t>
  </si>
  <si>
    <t>40264099</t>
  </si>
  <si>
    <t>12514580</t>
  </si>
  <si>
    <t>REL  MSPT CNF  PRC  BCRQ CRFI EXPL EXTS*</t>
  </si>
  <si>
    <t>MAGGI MIXPY CLASSIC 30x10x8g</t>
  </si>
  <si>
    <t>Mixpy</t>
  </si>
  <si>
    <t>40264412</t>
  </si>
  <si>
    <t>12518327</t>
  </si>
  <si>
    <t>MAGGI Cube 2300x4g EHP NILE</t>
  </si>
  <si>
    <t>40264586</t>
  </si>
  <si>
    <t>40264094</t>
  </si>
  <si>
    <t>12558648</t>
  </si>
  <si>
    <t>REL  CRCR CNF  PRC  BCRQ EXPL EXTS GMPS*</t>
  </si>
  <si>
    <t>MAGGI Seasoning Powder 18x400g</t>
  </si>
  <si>
    <t>Pouches</t>
  </si>
  <si>
    <t>40267294</t>
  </si>
  <si>
    <t>CRTD PRC  BCRQ EXPL EXTS MANC SETC</t>
  </si>
  <si>
    <t>40264098</t>
  </si>
  <si>
    <t>12561262</t>
  </si>
  <si>
    <t>REL  MSPT CNF  DLV  PRC  BCRQ CRFI EXPL*</t>
  </si>
  <si>
    <t>Maggi Shrimp 6X10X100g</t>
  </si>
  <si>
    <t>40264056</t>
  </si>
  <si>
    <t>12606764</t>
  </si>
  <si>
    <t>MAGGI Shrimp SeasoningTablet 24(60x10g)F</t>
  </si>
  <si>
    <t>Tablets</t>
  </si>
  <si>
    <t>894623200</t>
  </si>
  <si>
    <t>LA</t>
  </si>
  <si>
    <t>EA</t>
  </si>
  <si>
    <t>2026-11-08 00:00:00</t>
  </si>
  <si>
    <t>40267293</t>
  </si>
  <si>
    <t>13770562</t>
  </si>
  <si>
    <t>2026-11-12 00:00:00</t>
  </si>
  <si>
    <t>MAGGI Seasoning Powder 18x400g BS</t>
  </si>
  <si>
    <t>40264191</t>
  </si>
  <si>
    <t>13911071</t>
  </si>
  <si>
    <t>MAGGI Double Cube 20x53x8g EHP NILE Gira</t>
  </si>
  <si>
    <t>Double Cubes</t>
  </si>
  <si>
    <t>40266125</t>
  </si>
  <si>
    <t>13911072</t>
  </si>
  <si>
    <t>MAGGI Cube 20(106 x 4g) EHP NILE Giraffe</t>
  </si>
  <si>
    <t>40264343</t>
  </si>
  <si>
    <t>43267472</t>
  </si>
  <si>
    <t>MAGGI Cube 2.38% Mix 50R</t>
  </si>
  <si>
    <t>HALB</t>
  </si>
  <si>
    <t>894624424</t>
  </si>
  <si>
    <t>43352961</t>
  </si>
  <si>
    <t>MAGGI Shrimp 2.99% Fortified Mix</t>
  </si>
  <si>
    <t>40264250</t>
  </si>
  <si>
    <t>43421885</t>
  </si>
  <si>
    <t>MAGGI Cube EHP Mass NP</t>
  </si>
  <si>
    <t>894623783</t>
  </si>
  <si>
    <t>43895673</t>
  </si>
  <si>
    <t>MAGGI Shrimp and Fish 4% Mix</t>
  </si>
  <si>
    <t>894623784</t>
  </si>
  <si>
    <t>40264245</t>
  </si>
  <si>
    <t>44353587</t>
  </si>
  <si>
    <t>TECO CNF  DLV  PRC  BCRQ CRFI EXPL EXTS*</t>
  </si>
  <si>
    <t>MAGGI EHP Cube NILE Double Cube</t>
  </si>
  <si>
    <t>40264282</t>
  </si>
  <si>
    <t>894620761</t>
  </si>
  <si>
    <t>44393370</t>
  </si>
  <si>
    <t>2026-11-02 00:00:00</t>
  </si>
  <si>
    <t>MAGGI SHRIMP MASS 700KG NG BBG</t>
  </si>
  <si>
    <t>40264409</t>
  </si>
  <si>
    <t>44415069</t>
  </si>
  <si>
    <t>MAGGI CUBE EHP FORTIFIED MASS ELECTRO NE</t>
  </si>
  <si>
    <t>40264510</t>
  </si>
  <si>
    <t>892311879</t>
  </si>
  <si>
    <t>2026-10-28 00:00:00</t>
  </si>
  <si>
    <t>894620858</t>
  </si>
  <si>
    <t>44423449</t>
  </si>
  <si>
    <t>2027-03-25 00:00:00</t>
  </si>
  <si>
    <t>MAGGI SHRIMP AND FISH MASS 700KG DDD</t>
  </si>
  <si>
    <t>40264192</t>
  </si>
  <si>
    <t>44427680</t>
  </si>
  <si>
    <t>MAGGI EHP Cube NILE NG</t>
  </si>
  <si>
    <t>40264193</t>
  </si>
  <si>
    <t>40264247</t>
  </si>
  <si>
    <t>40264267</t>
  </si>
  <si>
    <t>40264300</t>
  </si>
  <si>
    <t>40264301</t>
  </si>
  <si>
    <t>894058438</t>
  </si>
  <si>
    <t>894058441</t>
  </si>
  <si>
    <t>893847846</t>
  </si>
  <si>
    <t>44510029</t>
  </si>
  <si>
    <t>MAGGI Cube 2.38% ELEC Mix Ribotide NURT1</t>
  </si>
  <si>
    <t>HALB Product</t>
  </si>
  <si>
    <t>HALB Planned (t)</t>
  </si>
  <si>
    <t>HALB Achieved (t)</t>
  </si>
  <si>
    <t>Standard Cubes Product</t>
  </si>
  <si>
    <t>Standard Cubes Planned (t)</t>
  </si>
  <si>
    <t>Standard Cubes Achieved (t)</t>
  </si>
  <si>
    <t>Double Cubes Product</t>
  </si>
  <si>
    <t>Double Cubes Planned (t)</t>
  </si>
  <si>
    <t>Double Cubes Achieved (t)</t>
  </si>
  <si>
    <t>Mixpy Product</t>
  </si>
  <si>
    <t>Mixpy Planned (t)</t>
  </si>
  <si>
    <t>Mixpy Achieved (t)</t>
  </si>
  <si>
    <t>Tablets Product</t>
  </si>
  <si>
    <t>Tablets Planned (t)</t>
  </si>
  <si>
    <t>Tablets Achieved (t)</t>
  </si>
  <si>
    <t>Pouches Product</t>
  </si>
  <si>
    <t>Pouches Planned (t)</t>
  </si>
  <si>
    <t>Pouches Achieved (t)</t>
  </si>
  <si>
    <t>Date</t>
  </si>
  <si>
    <t>Planned (t)</t>
  </si>
  <si>
    <t>Achieved (t)</t>
  </si>
  <si>
    <t>Hit/Miss</t>
  </si>
  <si>
    <t>Hit</t>
  </si>
  <si>
    <t>Miss</t>
  </si>
  <si>
    <t>(All)</t>
  </si>
  <si>
    <t>Sum of Delivered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</si>
</sst>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39802D"/>
      <name val="Calibri"/>
    </font>
    <font>
      <b/>
      <sz val="11"/>
      <color rgb="FFC00000"/>
      <name val="Calibri"/>
    </font>
    <font>
      <b/>
      <sz val="20"/>
      <color rgb="FF000000"/>
      <name val="Arial"/>
    </font>
    <font>
      <i/>
      <sz val="10"/>
      <color rgb="FF40404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9C3B2E"/>
      </patternFill>
    </fill>
    <fill>
      <patternFill patternType="solid">
        <fgColor rgb="FFA8C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3" borderId="0" xfId="0" applyFont="1" applyFill="1"/>
    <xf numFmtId="0" fontId="4" fillId="4" borderId="0" xfId="0" applyFont="1" applyFill="1" applyAlignment="1">
      <alignment horizontal="center"/>
    </xf>
    <xf numFmtId="0" fontId="0" fillId="0" borderId="0" xfId="0"/>
    <xf numFmtId="0" fontId="5" fillId="0" borderId="0" xfId="0" applyFon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HALB - Plan Vs Achieved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Chart_Data!$B$1</c:f>
              <c:strCache>
                <c:ptCount val="1"/>
                <c:pt idx="0">
                  <c:v>HALB Planned (t)</c:v>
                </c:pt>
              </c:strCache>
            </c:strRef>
          </c:tx>
          <c:spPr>
            <a:solidFill>
              <a:srgbClr val="176B87"/>
            </a:solidFill>
            <a:ln>
              <a:solidFill>
                <a:srgbClr val="176B87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Chart_Data!$A$2:$A$6</c:f>
              <c:strCache>
                <c:ptCount val="5"/>
                <c:pt idx="0">
                  <c:v>MAGGI CUBE EHP FORTIFIED MASS ELECTRO NE</c:v>
                </c:pt>
                <c:pt idx="1">
                  <c:v>MAGGI Cube 2.38% Mix 50R</c:v>
                </c:pt>
                <c:pt idx="2">
                  <c:v>MAGGI Cube EHP Mass NP</c:v>
                </c:pt>
                <c:pt idx="3">
                  <c:v>MAGGI EHP Cube NILE Double Cube</c:v>
                </c:pt>
                <c:pt idx="4">
                  <c:v>MAGGI EHP Cube NILE NG</c:v>
                </c:pt>
              </c:strCache>
            </c:strRef>
          </c:cat>
          <c:val>
            <c:numRef>
              <c:f>Chart_Data!$B$2:$B$6</c:f>
              <c:numCache>
                <c:formatCode>General</c:formatCode>
                <c:ptCount val="5"/>
                <c:pt idx="0">
                  <c:v>241.899</c:v>
                </c:pt>
                <c:pt idx="1">
                  <c:v>4.726</c:v>
                </c:pt>
                <c:pt idx="2">
                  <c:v>56.25</c:v>
                </c:pt>
                <c:pt idx="3">
                  <c:v>32.64</c:v>
                </c:pt>
                <c:pt idx="4">
                  <c:v>332.05099999999999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76B8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A93-4B4B-90D8-D4A8D09ECFB9}"/>
            </c:ext>
          </c:extLst>
        </c:ser>
        <c:ser>
          <c:idx val="1"/>
          <c:order val="1"/>
          <c:tx>
            <c:strRef>
              <c:f>Chart_Data!$C$1</c:f>
              <c:strCache>
                <c:ptCount val="1"/>
                <c:pt idx="0">
                  <c:v>HALB Achieved (t)</c:v>
                </c:pt>
              </c:strCache>
            </c:strRef>
          </c:tx>
          <c:spPr>
            <a:solidFill>
              <a:srgbClr val="39802D"/>
            </a:solidFill>
            <a:ln>
              <a:solidFill>
                <a:srgbClr val="39802D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FA93-4B4B-90D8-D4A8D09ECFB9}"/>
              </c:ext>
            </c:extLst>
          </c:dPt>
          <c:dPt>
            <c:idx val="1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FA93-4B4B-90D8-D4A8D09ECFB9}"/>
              </c:ext>
            </c:extLst>
          </c:dPt>
          <c:dPt>
            <c:idx val="2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FA93-4B4B-90D8-D4A8D09ECFB9}"/>
              </c:ext>
            </c:extLst>
          </c:dPt>
          <c:dPt>
            <c:idx val="3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FA93-4B4B-90D8-D4A8D09ECFB9}"/>
              </c:ext>
            </c:extLst>
          </c:dPt>
          <c:dPt>
            <c:idx val="4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FA93-4B4B-90D8-D4A8D09ECFB9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Chart_Data!$A$2:$A$6</c:f>
              <c:strCache>
                <c:ptCount val="5"/>
                <c:pt idx="0">
                  <c:v>MAGGI CUBE EHP FORTIFIED MASS ELECTRO NE</c:v>
                </c:pt>
                <c:pt idx="1">
                  <c:v>MAGGI Cube 2.38% Mix 50R</c:v>
                </c:pt>
                <c:pt idx="2">
                  <c:v>MAGGI Cube EHP Mass NP</c:v>
                </c:pt>
                <c:pt idx="3">
                  <c:v>MAGGI EHP Cube NILE Double Cube</c:v>
                </c:pt>
                <c:pt idx="4">
                  <c:v>MAGGI EHP Cube NILE NG</c:v>
                </c:pt>
              </c:strCache>
            </c:strRef>
          </c:cat>
          <c:val>
            <c:numRef>
              <c:f>Chart_Data!$C$2:$C$6</c:f>
              <c:numCache>
                <c:formatCode>General</c:formatCode>
                <c:ptCount val="5"/>
                <c:pt idx="0">
                  <c:v>368.46199999999999</c:v>
                </c:pt>
                <c:pt idx="1">
                  <c:v>4.9000000000000004</c:v>
                </c:pt>
                <c:pt idx="2">
                  <c:v>15.384</c:v>
                </c:pt>
                <c:pt idx="3">
                  <c:v>10.176</c:v>
                </c:pt>
                <c:pt idx="4">
                  <c:v>265.99567999999999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9802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FA93-4B4B-90D8-D4A8D09ECFB9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Material Description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FERT (Standard Cubes) - Plan Vs Achieved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Chart_Data!$E$1</c:f>
              <c:strCache>
                <c:ptCount val="1"/>
                <c:pt idx="0">
                  <c:v>Standard Cubes Planned (t)</c:v>
                </c:pt>
              </c:strCache>
            </c:strRef>
          </c:tx>
          <c:spPr>
            <a:solidFill>
              <a:srgbClr val="176B87"/>
            </a:solidFill>
            <a:ln>
              <a:solidFill>
                <a:srgbClr val="176B87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Chart_Data!$D$2:$D$6</c:f>
              <c:strCache>
                <c:ptCount val="5"/>
                <c:pt idx="0">
                  <c:v>MAGGI Cube 20(100 x 4g) EHP NILE 3</c:v>
                </c:pt>
                <c:pt idx="1">
                  <c:v>MAGGI Cube 20(106 x 4g) EHP NILE Giraffe</c:v>
                </c:pt>
                <c:pt idx="2">
                  <c:v>MAGGI Cube 2300x4g EHP NILE</c:v>
                </c:pt>
                <c:pt idx="3">
                  <c:v>MAGGI Cube 5(500x4g) EHP NILE</c:v>
                </c:pt>
                <c:pt idx="4">
                  <c:v>Maggi Cube 60(20x4g) EHP-Fort NG Nile CP</c:v>
                </c:pt>
              </c:strCache>
            </c:strRef>
          </c:cat>
          <c:val>
            <c:numRef>
              <c:f>Chart_Data!$E$2:$E$6</c:f>
              <c:numCache>
                <c:formatCode>General</c:formatCode>
                <c:ptCount val="5"/>
                <c:pt idx="0">
                  <c:v>188.06399999999999</c:v>
                </c:pt>
                <c:pt idx="1">
                  <c:v>8.3867200000000004</c:v>
                </c:pt>
                <c:pt idx="2">
                  <c:v>69.938400000000001</c:v>
                </c:pt>
                <c:pt idx="3">
                  <c:v>21.96</c:v>
                </c:pt>
                <c:pt idx="4">
                  <c:v>9.638399999999999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76B8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C93-43F0-BF97-D779C25F341B}"/>
            </c:ext>
          </c:extLst>
        </c:ser>
        <c:ser>
          <c:idx val="1"/>
          <c:order val="1"/>
          <c:tx>
            <c:strRef>
              <c:f>Chart_Data!$F$1</c:f>
              <c:strCache>
                <c:ptCount val="1"/>
                <c:pt idx="0">
                  <c:v>Standard Cubes Achieved (t)</c:v>
                </c:pt>
              </c:strCache>
            </c:strRef>
          </c:tx>
          <c:spPr>
            <a:solidFill>
              <a:srgbClr val="39802D"/>
            </a:solidFill>
            <a:ln>
              <a:solidFill>
                <a:srgbClr val="39802D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6C93-43F0-BF97-D779C25F341B}"/>
              </c:ext>
            </c:extLst>
          </c:dPt>
          <c:dPt>
            <c:idx val="1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6C93-43F0-BF97-D779C25F341B}"/>
              </c:ext>
            </c:extLst>
          </c:dPt>
          <c:dPt>
            <c:idx val="2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6C93-43F0-BF97-D779C25F341B}"/>
              </c:ext>
            </c:extLst>
          </c:dPt>
          <c:dPt>
            <c:idx val="3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6C93-43F0-BF97-D779C25F341B}"/>
              </c:ext>
            </c:extLst>
          </c:dPt>
          <c:dPt>
            <c:idx val="4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6C93-43F0-BF97-D779C25F341B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Chart_Data!$D$2:$D$6</c:f>
              <c:strCache>
                <c:ptCount val="5"/>
                <c:pt idx="0">
                  <c:v>MAGGI Cube 20(100 x 4g) EHP NILE 3</c:v>
                </c:pt>
                <c:pt idx="1">
                  <c:v>MAGGI Cube 20(106 x 4g) EHP NILE Giraffe</c:v>
                </c:pt>
                <c:pt idx="2">
                  <c:v>MAGGI Cube 2300x4g EHP NILE</c:v>
                </c:pt>
                <c:pt idx="3">
                  <c:v>MAGGI Cube 5(500x4g) EHP NILE</c:v>
                </c:pt>
                <c:pt idx="4">
                  <c:v>Maggi Cube 60(20x4g) EHP-Fort NG Nile CP</c:v>
                </c:pt>
              </c:strCache>
            </c:strRef>
          </c:cat>
          <c:val>
            <c:numRef>
              <c:f>Chart_Data!$F$2:$F$6</c:f>
              <c:numCache>
                <c:formatCode>General</c:formatCode>
                <c:ptCount val="5"/>
                <c:pt idx="0">
                  <c:v>139.66399999999999</c:v>
                </c:pt>
                <c:pt idx="1">
                  <c:v>9.6756799999999998</c:v>
                </c:pt>
                <c:pt idx="2">
                  <c:v>86.847999999999999</c:v>
                </c:pt>
                <c:pt idx="3">
                  <c:v>15.12</c:v>
                </c:pt>
                <c:pt idx="4">
                  <c:v>14.688000000000001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9802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6C93-43F0-BF97-D779C25F341B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Material Description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FERT (Double Cubes) - Plan Vs Achieved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Chart_Data!$H$1</c:f>
              <c:strCache>
                <c:ptCount val="1"/>
                <c:pt idx="0">
                  <c:v>Double Cubes Planned (t)</c:v>
                </c:pt>
              </c:strCache>
            </c:strRef>
          </c:tx>
          <c:spPr>
            <a:solidFill>
              <a:srgbClr val="176B87"/>
            </a:solidFill>
            <a:ln>
              <a:solidFill>
                <a:srgbClr val="176B87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Chart_Data!$G$2</c:f>
              <c:strCache>
                <c:ptCount val="1"/>
                <c:pt idx="0">
                  <c:v>MAGGI Double Cube 20x53x8g EHP NILE Gira</c:v>
                </c:pt>
              </c:strCache>
            </c:strRef>
          </c:cat>
          <c:val>
            <c:numRef>
              <c:f>Chart_Data!$H$2</c:f>
              <c:numCache>
                <c:formatCode>General</c:formatCode>
                <c:ptCount val="1"/>
                <c:pt idx="0">
                  <c:v>8.1577599999999997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76B8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239-4247-900F-3C7F40A65756}"/>
            </c:ext>
          </c:extLst>
        </c:ser>
        <c:ser>
          <c:idx val="1"/>
          <c:order val="1"/>
          <c:tx>
            <c:strRef>
              <c:f>Chart_Data!$I$1</c:f>
              <c:strCache>
                <c:ptCount val="1"/>
                <c:pt idx="0">
                  <c:v>Double Cubes Achieved (t)</c:v>
                </c:pt>
              </c:strCache>
            </c:strRef>
          </c:tx>
          <c:spPr>
            <a:solidFill>
              <a:srgbClr val="39802D"/>
            </a:solidFill>
            <a:ln>
              <a:solidFill>
                <a:srgbClr val="39802D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5239-4247-900F-3C7F40A65756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Chart_Data!$G$2</c:f>
              <c:strCache>
                <c:ptCount val="1"/>
                <c:pt idx="0">
                  <c:v>MAGGI Double Cube 20x53x8g EHP NILE Gira</c:v>
                </c:pt>
              </c:strCache>
            </c:strRef>
          </c:cat>
          <c:val>
            <c:numRef>
              <c:f>Chart_Data!$I$2</c:f>
              <c:numCache>
                <c:formatCode>General</c:formatCode>
                <c:ptCount val="1"/>
                <c:pt idx="0">
                  <c:v>10.176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9802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5239-4247-900F-3C7F40A65756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Material Description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FERT (Mixpy) - Plan Vs Achieved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Chart_Data!$K$1</c:f>
              <c:strCache>
                <c:ptCount val="1"/>
                <c:pt idx="0">
                  <c:v>Mixpy Planned (t)</c:v>
                </c:pt>
              </c:strCache>
            </c:strRef>
          </c:tx>
          <c:spPr>
            <a:solidFill>
              <a:srgbClr val="176B87"/>
            </a:solidFill>
            <a:ln>
              <a:solidFill>
                <a:srgbClr val="176B87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Chart_Data!$J$2</c:f>
              <c:strCache>
                <c:ptCount val="1"/>
                <c:pt idx="0">
                  <c:v>MAGGI MIXPY CLASSIC 30x10x8g</c:v>
                </c:pt>
              </c:strCache>
            </c:strRef>
          </c:cat>
          <c:val>
            <c:numRef>
              <c:f>Chart_Data!$K$2</c:f>
              <c:numCache>
                <c:formatCode>General</c:formatCode>
                <c:ptCount val="1"/>
                <c:pt idx="0">
                  <c:v>4.008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76B8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32C-402F-AF4F-C83C123453BF}"/>
            </c:ext>
          </c:extLst>
        </c:ser>
        <c:ser>
          <c:idx val="1"/>
          <c:order val="1"/>
          <c:tx>
            <c:strRef>
              <c:f>Chart_Data!$L$1</c:f>
              <c:strCache>
                <c:ptCount val="1"/>
                <c:pt idx="0">
                  <c:v>Mixpy Achieved (t)</c:v>
                </c:pt>
              </c:strCache>
            </c:strRef>
          </c:tx>
          <c:spPr>
            <a:solidFill>
              <a:srgbClr val="39802D"/>
            </a:solidFill>
            <a:ln>
              <a:solidFill>
                <a:srgbClr val="39802D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D32C-402F-AF4F-C83C123453BF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Chart_Data!$J$2</c:f>
              <c:strCache>
                <c:ptCount val="1"/>
                <c:pt idx="0">
                  <c:v>MAGGI MIXPY CLASSIC 30x10x8g</c:v>
                </c:pt>
              </c:strCache>
            </c:strRef>
          </c:cat>
          <c:val>
            <c:numRef>
              <c:f>Chart_Data!$L$2</c:f>
              <c:numCache>
                <c:formatCode>General</c:formatCode>
                <c:ptCount val="1"/>
                <c:pt idx="0">
                  <c:v>3.7631999999999999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9802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D32C-402F-AF4F-C83C123453BF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Material Description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FERT (Tablets) - Plan Vs Achieved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Chart_Data!$N$1</c:f>
              <c:strCache>
                <c:ptCount val="1"/>
                <c:pt idx="0">
                  <c:v>Tablets Planned (t)</c:v>
                </c:pt>
              </c:strCache>
            </c:strRef>
          </c:tx>
          <c:spPr>
            <a:solidFill>
              <a:srgbClr val="176B87"/>
            </a:solidFill>
            <a:ln>
              <a:solidFill>
                <a:srgbClr val="176B87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Chart_Data!$M$2</c:f>
              <c:strCache>
                <c:ptCount val="1"/>
                <c:pt idx="0">
                  <c:v>MAGGI Shrimp SeasoningTablet 24(60x10g)F</c:v>
                </c:pt>
              </c:strCache>
            </c:strRef>
          </c:cat>
          <c:val>
            <c:numRef>
              <c:f>Chart_Data!$N$2</c:f>
              <c:numCache>
                <c:formatCode>General</c:formatCode>
                <c:ptCount val="1"/>
                <c:pt idx="0">
                  <c:v>9.7199999999999989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76B8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A11-4125-B092-31F280AC3B4A}"/>
            </c:ext>
          </c:extLst>
        </c:ser>
        <c:ser>
          <c:idx val="1"/>
          <c:order val="1"/>
          <c:tx>
            <c:strRef>
              <c:f>Chart_Data!$O$1</c:f>
              <c:strCache>
                <c:ptCount val="1"/>
                <c:pt idx="0">
                  <c:v>Tablets Achieved (t)</c:v>
                </c:pt>
              </c:strCache>
            </c:strRef>
          </c:tx>
          <c:spPr>
            <a:solidFill>
              <a:srgbClr val="39802D"/>
            </a:solidFill>
            <a:ln>
              <a:solidFill>
                <a:srgbClr val="39802D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7A11-4125-B092-31F280AC3B4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Chart_Data!$M$2</c:f>
              <c:strCache>
                <c:ptCount val="1"/>
                <c:pt idx="0">
                  <c:v>MAGGI Shrimp SeasoningTablet 24(60x10g)F</c:v>
                </c:pt>
              </c:strCache>
            </c:strRef>
          </c:cat>
          <c:val>
            <c:numRef>
              <c:f>Chart_Data!$O$2</c:f>
              <c:numCache>
                <c:formatCode>General</c:formatCode>
                <c:ptCount val="1"/>
                <c:pt idx="0">
                  <c:v>8.64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9802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7A11-4125-B092-31F280AC3B4A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Material Description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FERT (Pouches) - Plan Vs Achieved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Chart_Data!$Q$1</c:f>
              <c:strCache>
                <c:ptCount val="1"/>
                <c:pt idx="0">
                  <c:v>Pouches Planned (t)</c:v>
                </c:pt>
              </c:strCache>
            </c:strRef>
          </c:tx>
          <c:spPr>
            <a:solidFill>
              <a:srgbClr val="176B87"/>
            </a:solidFill>
            <a:ln>
              <a:solidFill>
                <a:srgbClr val="176B87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Chart_Data!$P$2:$P$4</c:f>
              <c:strCache>
                <c:ptCount val="3"/>
                <c:pt idx="0">
                  <c:v>MAGGI Seasoning Powder 18x400g</c:v>
                </c:pt>
                <c:pt idx="1">
                  <c:v>MAGGI Seasoning Powder 18x400g BS</c:v>
                </c:pt>
                <c:pt idx="2">
                  <c:v>Maggi Shrimp 6X10X100g</c:v>
                </c:pt>
              </c:strCache>
            </c:strRef>
          </c:cat>
          <c:val>
            <c:numRef>
              <c:f>Chart_Data!$Q$2:$Q$4</c:f>
              <c:numCache>
                <c:formatCode>General</c:formatCode>
                <c:ptCount val="3"/>
                <c:pt idx="0">
                  <c:v>32.4</c:v>
                </c:pt>
                <c:pt idx="1">
                  <c:v>25.92</c:v>
                </c:pt>
                <c:pt idx="2">
                  <c:v>2.1419999999999999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76B8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E09-4208-AB3D-57EEA5DF6426}"/>
            </c:ext>
          </c:extLst>
        </c:ser>
        <c:ser>
          <c:idx val="1"/>
          <c:order val="1"/>
          <c:tx>
            <c:strRef>
              <c:f>Chart_Data!$R$1</c:f>
              <c:strCache>
                <c:ptCount val="1"/>
                <c:pt idx="0">
                  <c:v>Pouches Achieved (t)</c:v>
                </c:pt>
              </c:strCache>
            </c:strRef>
          </c:tx>
          <c:spPr>
            <a:solidFill>
              <a:srgbClr val="39802D"/>
            </a:solidFill>
            <a:ln>
              <a:solidFill>
                <a:srgbClr val="39802D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3E09-4208-AB3D-57EEA5DF6426}"/>
              </c:ext>
            </c:extLst>
          </c:dPt>
          <c:dPt>
            <c:idx val="1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3E09-4208-AB3D-57EEA5DF6426}"/>
              </c:ext>
            </c:extLst>
          </c:dPt>
          <c:dPt>
            <c:idx val="2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3E09-4208-AB3D-57EEA5DF6426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Chart_Data!$P$2:$P$4</c:f>
              <c:strCache>
                <c:ptCount val="3"/>
                <c:pt idx="0">
                  <c:v>MAGGI Seasoning Powder 18x400g</c:v>
                </c:pt>
                <c:pt idx="1">
                  <c:v>MAGGI Seasoning Powder 18x400g BS</c:v>
                </c:pt>
                <c:pt idx="2">
                  <c:v>Maggi Shrimp 6X10X100g</c:v>
                </c:pt>
              </c:strCache>
            </c:strRef>
          </c:cat>
          <c:val>
            <c:numRef>
              <c:f>Chart_Data!$R$2:$R$4</c:f>
              <c:numCache>
                <c:formatCode>General</c:formatCode>
                <c:ptCount val="3"/>
                <c:pt idx="0">
                  <c:v>11.231999999999999</c:v>
                </c:pt>
                <c:pt idx="1">
                  <c:v>0</c:v>
                </c:pt>
                <c:pt idx="2">
                  <c:v>2.52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9802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3E09-4208-AB3D-57EEA5DF6426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Material Description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61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3</xdr:row>
      <xdr:rowOff>0</xdr:rowOff>
    </xdr:from>
    <xdr:ext cx="612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20</xdr:row>
      <xdr:rowOff>0</xdr:rowOff>
    </xdr:from>
    <xdr:ext cx="6120000" cy="32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11</xdr:col>
      <xdr:colOff>0</xdr:colOff>
      <xdr:row>20</xdr:row>
      <xdr:rowOff>0</xdr:rowOff>
    </xdr:from>
    <xdr:ext cx="6120000" cy="324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37</xdr:row>
      <xdr:rowOff>0</xdr:rowOff>
    </xdr:from>
    <xdr:ext cx="6120000" cy="324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11</xdr:col>
      <xdr:colOff>0</xdr:colOff>
      <xdr:row>37</xdr:row>
      <xdr:rowOff>0</xdr:rowOff>
    </xdr:from>
    <xdr:ext cx="6120000" cy="324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mpe,Emmanuel,NG-Sagamu, Ogun State" refreshedDate="46322.345639814812" createdVersion="8" refreshedVersion="8" minRefreshableVersion="3" recordCount="41" xr:uid="{7E3374D9-11BD-4A24-9612-AC2AD12C3A16}">
  <cacheSource type="worksheet">
    <worksheetSource ref="A1:P42" sheet="Pivot_Source"/>
  </cacheSource>
  <cacheFields count="16">
    <cacheField name="Order" numFmtId="0">
      <sharedItems/>
    </cacheField>
    <cacheField name="Material" numFmtId="0">
      <sharedItems count="22">
        <s v="103376187"/>
        <s v="12476359"/>
        <s v="12481626"/>
        <s v="12494203"/>
        <s v="12514580"/>
        <s v="12518327"/>
        <s v="12558648"/>
        <s v="12561262"/>
        <s v="12606764"/>
        <s v="13770562"/>
        <s v="13911071"/>
        <s v="13911072"/>
        <s v="43267472"/>
        <s v="43352961"/>
        <s v="43421885"/>
        <s v="43895673"/>
        <s v="44353587"/>
        <s v="44393370"/>
        <s v="44415069"/>
        <s v="44423449"/>
        <s v="44427680"/>
        <s v="44510029"/>
      </sharedItems>
    </cacheField>
    <cacheField name="Order Type" numFmtId="0">
      <sharedItems count="3">
        <s v="YGT3"/>
        <s v="PI01"/>
        <s v="LA"/>
      </sharedItems>
    </cacheField>
    <cacheField name="Production Supervisor" numFmtId="0">
      <sharedItems/>
    </cacheField>
    <cacheField name="Plant" numFmtId="0">
      <sharedItems/>
    </cacheField>
    <cacheField name="Planned Quantity" numFmtId="0">
      <sharedItems containsSemiMixedTypes="0" containsString="0" containsNumber="1" containsInteger="1" minValue="357" maxValue="16537500"/>
    </cacheField>
    <cacheField name="Unit of measure" numFmtId="0">
      <sharedItems/>
    </cacheField>
    <cacheField name="Basic Start Date" numFmtId="0">
      <sharedItems count="1">
        <s v="2026-10-26"/>
      </sharedItems>
    </cacheField>
    <cacheField name="Basic finish date" numFmtId="0">
      <sharedItems/>
    </cacheField>
    <cacheField name="System Status" numFmtId="0">
      <sharedItems containsBlank="1"/>
    </cacheField>
    <cacheField name="Material Description" numFmtId="0">
      <sharedItems count="22">
        <s v="ZRWK MAGGI Cube EHP Fortiified Mass 4981"/>
        <s v="MAGGI Cube 5(500x4g) EHP NILE"/>
        <s v="MAGGI Cube 20(100 x 4g) EHP NILE 3"/>
        <s v="Maggi Cube 60(20x4g) EHP-Fort NG Nile CP"/>
        <s v="MAGGI MIXPY CLASSIC 30x10x8g"/>
        <s v="MAGGI Cube 2300x4g EHP NILE"/>
        <s v="MAGGI Seasoning Powder 18x400g"/>
        <s v="Maggi Shrimp 6X10X100g"/>
        <s v="MAGGI Shrimp SeasoningTablet 24(60x10g)F"/>
        <s v="MAGGI Seasoning Powder 18x400g BS"/>
        <s v="MAGGI Double Cube 20x53x8g EHP NILE Gira"/>
        <s v="MAGGI Cube 20(106 x 4g) EHP NILE Giraffe"/>
        <s v="MAGGI Cube 2.38% Mix 50R"/>
        <s v="MAGGI Shrimp 2.99% Fortified Mix"/>
        <s v="MAGGI Cube EHP Mass NP"/>
        <s v="MAGGI Shrimp and Fish 4% Mix"/>
        <s v="MAGGI EHP Cube NILE Double Cube"/>
        <s v="MAGGI SHRIMP MASS 700KG NG BBG"/>
        <s v="MAGGI CUBE EHP FORTIFIED MASS ELECTRO NE"/>
        <s v="MAGGI SHRIMP AND FISH MASS 700KG DDD"/>
        <s v="MAGGI EHP Cube NILE NG"/>
        <s v="MAGGI Cube 2.38% ELEC Mix Ribotide NURT1"/>
      </sharedItems>
    </cacheField>
    <cacheField name="Delivered Quantity" numFmtId="0">
      <sharedItems containsSemiMixedTypes="0" containsString="0" containsNumber="1" minValue="0" maxValue="279634"/>
    </cacheField>
    <cacheField name="Material Type" numFmtId="0">
      <sharedItems/>
    </cacheField>
    <cacheField name="Product Family" numFmtId="0">
      <sharedItems/>
    </cacheField>
    <cacheField name="Tons per Unit" numFmtId="0">
      <sharedItems containsString="0" containsBlank="1" containsNumber="1" minValue="1E-3" maxValue="1.44E-2"/>
    </cacheField>
    <cacheField name="Exception Reas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s v="40266412"/>
    <x v="0"/>
    <x v="0"/>
    <s v="001"/>
    <s v="4981"/>
    <n v="17000"/>
    <s v="KG"/>
    <x v="0"/>
    <s v="2026-10-27 00:00:00"/>
    <s v="TECO CNF  DLV  PRC  BCRQ CRFI GMPS MANC*"/>
    <x v="0"/>
    <n v="3137"/>
    <s v="FERT"/>
    <s v="Standard Cubes"/>
    <m/>
    <s v="Excluded order type (chart includes PI01 production orders only)"/>
  </r>
  <r>
    <s v="40264564"/>
    <x v="1"/>
    <x v="1"/>
    <s v="001"/>
    <s v="4981"/>
    <n v="2196"/>
    <s v="CS"/>
    <x v="0"/>
    <s v="2026-10-26 00:00:00"/>
    <s v="TECO MSPT CNF  DLV  PRC  BCRQ CRFI EXPL*"/>
    <x v="1"/>
    <n v="1512"/>
    <s v="FERT"/>
    <s v="Standard Cubes"/>
    <n v="0.01"/>
    <m/>
  </r>
  <r>
    <s v="40264695"/>
    <x v="2"/>
    <x v="1"/>
    <s v="001"/>
    <s v="4981"/>
    <n v="3044"/>
    <s v="CS"/>
    <x v="0"/>
    <s v="2026-10-26 00:00:00"/>
    <s v="REL  MSPT CRCR CNF  PRC  BCRQ EXPL EXTS*"/>
    <x v="2"/>
    <n v="560"/>
    <s v="FERT"/>
    <s v="Standard Cubes"/>
    <n v="8.0000000000000002E-3"/>
    <m/>
  </r>
  <r>
    <s v="40264696"/>
    <x v="2"/>
    <x v="1"/>
    <s v="001"/>
    <s v="4981"/>
    <n v="3690"/>
    <s v="CS"/>
    <x v="0"/>
    <s v="2026-10-26 00:00:00"/>
    <s v="REL  MSPT CRCR CNF  PRC  BCRQ EXPL EXTS*"/>
    <x v="2"/>
    <n v="3360"/>
    <s v="FERT"/>
    <s v="Standard Cubes"/>
    <n v="8.0000000000000002E-3"/>
    <m/>
  </r>
  <r>
    <s v="40264758"/>
    <x v="2"/>
    <x v="1"/>
    <s v="001"/>
    <s v="4981"/>
    <n v="631"/>
    <s v="CS"/>
    <x v="0"/>
    <s v="2026-10-26 00:00:00"/>
    <s v="CRTD MSPT PRC  BCRQ EXPL EXTS SETC"/>
    <x v="2"/>
    <n v="0"/>
    <s v="FERT"/>
    <s v="Standard Cubes"/>
    <n v="8.0000000000000002E-3"/>
    <m/>
  </r>
  <r>
    <s v="40264822"/>
    <x v="2"/>
    <x v="1"/>
    <s v="001"/>
    <s v="4981"/>
    <n v="9223"/>
    <s v="CS"/>
    <x v="0"/>
    <s v="2026-10-26 00:00:00"/>
    <s v="REL  MSPT CRCR CNF  PRC  BCRQ EXPL EXTS*"/>
    <x v="2"/>
    <n v="6080"/>
    <s v="FERT"/>
    <s v="Standard Cubes"/>
    <n v="8.0000000000000002E-3"/>
    <m/>
  </r>
  <r>
    <s v="40264842"/>
    <x v="2"/>
    <x v="1"/>
    <s v="001"/>
    <s v="4981"/>
    <n v="6220"/>
    <s v="CS"/>
    <x v="0"/>
    <s v="2026-10-26 00:00:00"/>
    <s v="REL  MSPT CRCR CNF  PRC  BCRQ EXPL EXTS*"/>
    <x v="2"/>
    <n v="6160"/>
    <s v="FERT"/>
    <s v="Standard Cubes"/>
    <n v="8.0000000000000002E-3"/>
    <m/>
  </r>
  <r>
    <s v="40265630"/>
    <x v="2"/>
    <x v="1"/>
    <s v="001"/>
    <s v="4981"/>
    <n v="700"/>
    <s v="CS"/>
    <x v="0"/>
    <s v="2026-10-26 00:00:00"/>
    <s v="REL  MSPT CRCR CNF  DLV  PRC  BCRQ EXPL*"/>
    <x v="2"/>
    <n v="1298"/>
    <s v="FERT"/>
    <s v="Standard Cubes"/>
    <n v="8.0000000000000002E-3"/>
    <m/>
  </r>
  <r>
    <s v="40264265"/>
    <x v="3"/>
    <x v="1"/>
    <s v="001"/>
    <s v="4981"/>
    <n v="2008"/>
    <s v="CS"/>
    <x v="0"/>
    <s v="2026-10-26 00:00:00"/>
    <s v="TECO MSPT CNF  DLV  PRC  BCRQ CRFI EXPL*"/>
    <x v="3"/>
    <n v="3060"/>
    <s v="FERT"/>
    <s v="Standard Cubes"/>
    <n v="4.7999999999999996E-3"/>
    <m/>
  </r>
  <r>
    <s v="40264099"/>
    <x v="4"/>
    <x v="1"/>
    <s v="001"/>
    <s v="4981"/>
    <n v="1670"/>
    <s v="CS"/>
    <x v="0"/>
    <s v="2026-10-27 00:00:00"/>
    <s v="REL  MSPT CNF  PRC  BCRQ CRFI EXPL EXTS*"/>
    <x v="4"/>
    <n v="1568"/>
    <s v="FERT"/>
    <s v="Mixpy"/>
    <n v="2.3999999999999998E-3"/>
    <m/>
  </r>
  <r>
    <s v="40264412"/>
    <x v="5"/>
    <x v="1"/>
    <s v="001"/>
    <s v="4981"/>
    <n v="5793"/>
    <s v="CS"/>
    <x v="0"/>
    <s v="2026-10-26 00:00:00"/>
    <s v="TECO MSPT CNF  DLV  PRC  BCRQ CRFI EXPL*"/>
    <x v="5"/>
    <n v="9440"/>
    <s v="FERT"/>
    <s v="Standard Cubes"/>
    <n v="9.1999999999999998E-3"/>
    <m/>
  </r>
  <r>
    <s v="40264586"/>
    <x v="5"/>
    <x v="1"/>
    <s v="001"/>
    <s v="4981"/>
    <n v="1809"/>
    <s v="CS"/>
    <x v="0"/>
    <s v="2026-10-26 00:00:00"/>
    <s v="CRTD MSPT PRC  BCRQ EXPL EXTS SETC"/>
    <x v="5"/>
    <n v="0"/>
    <s v="FERT"/>
    <s v="Standard Cubes"/>
    <n v="9.1999999999999998E-3"/>
    <m/>
  </r>
  <r>
    <s v="40264094"/>
    <x v="6"/>
    <x v="1"/>
    <s v="001"/>
    <s v="4981"/>
    <n v="2250"/>
    <s v="CS"/>
    <x v="0"/>
    <s v="2026-10-26 00:00:00"/>
    <s v="REL  CRCR CNF  PRC  BCRQ EXPL EXTS GMPS*"/>
    <x v="6"/>
    <n v="1560"/>
    <s v="FERT"/>
    <s v="Pouches"/>
    <n v="7.1999999999999998E-3"/>
    <m/>
  </r>
  <r>
    <s v="40267294"/>
    <x v="6"/>
    <x v="1"/>
    <s v="001"/>
    <s v="4981"/>
    <n v="2250"/>
    <s v="CS"/>
    <x v="0"/>
    <s v="2026-10-27 00:00:00"/>
    <s v="CRTD PRC  BCRQ EXPL EXTS MANC SETC"/>
    <x v="6"/>
    <n v="0"/>
    <s v="FERT"/>
    <s v="Pouches"/>
    <n v="7.1999999999999998E-3"/>
    <m/>
  </r>
  <r>
    <s v="40264098"/>
    <x v="7"/>
    <x v="1"/>
    <s v="001"/>
    <s v="4981"/>
    <n v="357"/>
    <s v="CS"/>
    <x v="0"/>
    <s v="2026-10-26 00:00:00"/>
    <s v="REL  MSPT CNF  DLV  PRC  BCRQ CRFI EXPL*"/>
    <x v="7"/>
    <n v="420"/>
    <s v="FERT"/>
    <s v="Pouches"/>
    <n v="6.0000000000000001E-3"/>
    <m/>
  </r>
  <r>
    <s v="40264056"/>
    <x v="8"/>
    <x v="1"/>
    <s v="001"/>
    <s v="4981"/>
    <n v="675"/>
    <s v="CS"/>
    <x v="0"/>
    <s v="2026-10-26 00:00:00"/>
    <s v="REL  MSPT CNF  PRC  BCRQ CRFI EXPL EXTS*"/>
    <x v="8"/>
    <n v="600"/>
    <s v="FERT"/>
    <s v="Tablets"/>
    <n v="1.44E-2"/>
    <m/>
  </r>
  <r>
    <s v="894623200"/>
    <x v="8"/>
    <x v="2"/>
    <s v="001"/>
    <s v="4981"/>
    <n v="266664"/>
    <s v="EA"/>
    <x v="0"/>
    <s v="2026-11-08 00:00:00"/>
    <m/>
    <x v="8"/>
    <n v="0"/>
    <s v="FERT"/>
    <s v="Tablets"/>
    <m/>
    <s v="Excluded order type (chart includes PI01 production orders only)"/>
  </r>
  <r>
    <s v="40267293"/>
    <x v="9"/>
    <x v="1"/>
    <s v="001"/>
    <s v="4981"/>
    <n v="3600"/>
    <s v="CS"/>
    <x v="0"/>
    <s v="2026-11-12 00:00:00"/>
    <s v="CRTD PRC  BCRQ EXPL EXTS MANC SETC"/>
    <x v="9"/>
    <n v="0"/>
    <s v="FERT"/>
    <s v="Pouches"/>
    <n v="7.1999999999999998E-3"/>
    <m/>
  </r>
  <r>
    <s v="40264191"/>
    <x v="10"/>
    <x v="1"/>
    <s v="001"/>
    <s v="4981"/>
    <n v="962"/>
    <s v="CS"/>
    <x v="0"/>
    <s v="2026-10-26 00:00:00"/>
    <s v="TECO MSPT CNF  DLV  PRC  BCRQ CRFI EXPL*"/>
    <x v="10"/>
    <n v="1200"/>
    <s v="FERT"/>
    <s v="Double Cubes"/>
    <n v="8.4799999999999997E-3"/>
    <m/>
  </r>
  <r>
    <s v="40266125"/>
    <x v="11"/>
    <x v="1"/>
    <s v="001"/>
    <s v="4981"/>
    <n v="989"/>
    <s v="CS"/>
    <x v="0"/>
    <s v="2026-10-26 00:00:00"/>
    <s v="REL  MSPT CRCR CNF  DLV  PRC  BCRQ EXPL*"/>
    <x v="11"/>
    <n v="1141"/>
    <s v="FERT"/>
    <s v="Standard Cubes"/>
    <n v="8.4799999999999997E-3"/>
    <m/>
  </r>
  <r>
    <s v="40264343"/>
    <x v="12"/>
    <x v="1"/>
    <s v="001"/>
    <s v="4981"/>
    <n v="4726"/>
    <s v="KG"/>
    <x v="0"/>
    <s v="2026-10-26 00:00:00"/>
    <s v="TECO MSPT CNF  DLV  PRC  BCRQ CRFI EXPL*"/>
    <x v="12"/>
    <n v="4900"/>
    <s v="HALB"/>
    <s v="HALB"/>
    <n v="1E-3"/>
    <m/>
  </r>
  <r>
    <s v="894624424"/>
    <x v="13"/>
    <x v="2"/>
    <s v="001"/>
    <s v="4981"/>
    <n v="15000"/>
    <s v="KG"/>
    <x v="0"/>
    <s v="2026-10-26 00:00:00"/>
    <m/>
    <x v="13"/>
    <n v="0"/>
    <s v="HALB"/>
    <s v="HALB"/>
    <m/>
    <s v="Excluded order type (chart includes PI01 production orders only)"/>
  </r>
  <r>
    <s v="40264250"/>
    <x v="14"/>
    <x v="1"/>
    <s v="001"/>
    <s v="4981"/>
    <n v="56250"/>
    <s v="KG"/>
    <x v="0"/>
    <s v="2026-10-27 00:00:00"/>
    <s v="TECO MSPT CNF  DLV  PRC  BCRQ CRFI EXPL*"/>
    <x v="14"/>
    <n v="15384"/>
    <s v="HALB"/>
    <s v="HALB"/>
    <n v="1E-3"/>
    <m/>
  </r>
  <r>
    <s v="894623783"/>
    <x v="15"/>
    <x v="2"/>
    <s v="001"/>
    <s v="4981"/>
    <n v="719972"/>
    <s v="KG"/>
    <x v="0"/>
    <s v="2026-10-27 00:00:00"/>
    <m/>
    <x v="15"/>
    <n v="0"/>
    <s v="HALB"/>
    <s v="HALB"/>
    <m/>
    <s v="Excluded order type (chart includes PI01 production orders only)"/>
  </r>
  <r>
    <s v="894623784"/>
    <x v="15"/>
    <x v="2"/>
    <s v="001"/>
    <s v="4981"/>
    <n v="1103"/>
    <s v="KG"/>
    <x v="0"/>
    <s v="2026-10-27 00:00:00"/>
    <m/>
    <x v="15"/>
    <n v="0"/>
    <s v="HALB"/>
    <s v="HALB"/>
    <m/>
    <s v="Excluded order type (chart includes PI01 production orders only)"/>
  </r>
  <r>
    <s v="40264245"/>
    <x v="16"/>
    <x v="1"/>
    <s v="001"/>
    <s v="4981"/>
    <n v="8160"/>
    <s v="KG"/>
    <x v="0"/>
    <s v="2026-10-26 00:00:00"/>
    <s v="TECO CNF  DLV  PRC  BCRQ CRFI EXPL EXTS*"/>
    <x v="16"/>
    <n v="10176"/>
    <s v="HALB"/>
    <s v="HALB"/>
    <n v="1E-3"/>
    <m/>
  </r>
  <r>
    <s v="40264282"/>
    <x v="16"/>
    <x v="1"/>
    <s v="001"/>
    <s v="4981"/>
    <n v="24480"/>
    <s v="KG"/>
    <x v="0"/>
    <s v="2026-10-27 00:00:00"/>
    <s v="CRTD MSPT PRC  BCRQ EXPL EXTS SETC"/>
    <x v="16"/>
    <n v="0"/>
    <s v="HALB"/>
    <s v="HALB"/>
    <n v="1E-3"/>
    <m/>
  </r>
  <r>
    <s v="894620761"/>
    <x v="17"/>
    <x v="2"/>
    <s v="001"/>
    <s v="4981"/>
    <n v="672000"/>
    <s v="KG"/>
    <x v="0"/>
    <s v="2026-11-02 00:00:00"/>
    <m/>
    <x v="17"/>
    <n v="0"/>
    <s v="HALB"/>
    <s v="HALB"/>
    <m/>
    <s v="Excluded order type (chart includes PI01 production orders only)"/>
  </r>
  <r>
    <s v="40264409"/>
    <x v="18"/>
    <x v="1"/>
    <s v="001"/>
    <s v="4981"/>
    <n v="50625"/>
    <s v="KG"/>
    <x v="0"/>
    <s v="2026-10-26 00:00:00"/>
    <s v="TECO MSPT CNF  DLV  PRC  BCRQ CRFI EXPL*"/>
    <x v="18"/>
    <n v="88828"/>
    <s v="HALB"/>
    <s v="HALB"/>
    <n v="1E-3"/>
    <m/>
  </r>
  <r>
    <s v="40264510"/>
    <x v="18"/>
    <x v="1"/>
    <s v="001"/>
    <s v="4981"/>
    <n v="191274"/>
    <s v="KG"/>
    <x v="0"/>
    <s v="2026-10-26 00:00:00"/>
    <s v="TECO MSPT CNF  DLV  PRC  BCRQ CRFI EXPL*"/>
    <x v="18"/>
    <n v="279634"/>
    <s v="HALB"/>
    <s v="HALB"/>
    <n v="1E-3"/>
    <m/>
  </r>
  <r>
    <s v="892311879"/>
    <x v="18"/>
    <x v="2"/>
    <s v="001"/>
    <s v="4981"/>
    <n v="577886"/>
    <s v="KG"/>
    <x v="0"/>
    <s v="2026-10-28 00:00:00"/>
    <m/>
    <x v="18"/>
    <n v="0"/>
    <s v="HALB"/>
    <s v="HALB"/>
    <m/>
    <s v="Excluded order type (chart includes PI01 production orders only)"/>
  </r>
  <r>
    <s v="894620858"/>
    <x v="19"/>
    <x v="2"/>
    <s v="001"/>
    <s v="4981"/>
    <n v="16537500"/>
    <s v="KG"/>
    <x v="0"/>
    <s v="2027-03-25 00:00:00"/>
    <m/>
    <x v="19"/>
    <n v="0"/>
    <s v="HALB"/>
    <s v="HALB"/>
    <m/>
    <s v="Excluded order type (chart includes PI01 production orders only)"/>
  </r>
  <r>
    <s v="40264192"/>
    <x v="20"/>
    <x v="1"/>
    <s v="001"/>
    <s v="4981"/>
    <n v="35231"/>
    <s v="KG"/>
    <x v="0"/>
    <s v="2026-10-26 00:00:00"/>
    <s v="TECO CNF  DLV  PRC  BCRQ CRFI EXPL EXTS*"/>
    <x v="20"/>
    <n v="64032"/>
    <s v="HALB"/>
    <s v="HALB"/>
    <n v="1E-3"/>
    <m/>
  </r>
  <r>
    <s v="40264193"/>
    <x v="20"/>
    <x v="1"/>
    <s v="001"/>
    <s v="4981"/>
    <n v="147864"/>
    <s v="KG"/>
    <x v="0"/>
    <s v="2026-10-27 00:00:00"/>
    <s v="TECO MSPT CNF  DLV  PRC  BCRQ CRFI EXPL*"/>
    <x v="20"/>
    <n v="67040"/>
    <s v="HALB"/>
    <s v="HALB"/>
    <n v="1E-3"/>
    <m/>
  </r>
  <r>
    <s v="40264247"/>
    <x v="20"/>
    <x v="1"/>
    <s v="001"/>
    <s v="4981"/>
    <n v="17690"/>
    <s v="KG"/>
    <x v="0"/>
    <s v="2026-10-27 00:00:00"/>
    <s v="TECO MSPT CNF  DLV  PRC  BCRQ CRFI EXPL*"/>
    <x v="20"/>
    <n v="15328"/>
    <s v="HALB"/>
    <s v="HALB"/>
    <n v="1E-3"/>
    <m/>
  </r>
  <r>
    <s v="40264267"/>
    <x v="20"/>
    <x v="1"/>
    <s v="001"/>
    <s v="4981"/>
    <n v="76672"/>
    <s v="KG"/>
    <x v="0"/>
    <s v="2026-10-27 00:00:00"/>
    <s v="TECO MSPT CNF  DLV  PRC  BCRQ CRFI EXPL*"/>
    <x v="20"/>
    <n v="78416"/>
    <s v="HALB"/>
    <s v="HALB"/>
    <n v="1E-3"/>
    <m/>
  </r>
  <r>
    <s v="40264300"/>
    <x v="20"/>
    <x v="1"/>
    <s v="001"/>
    <s v="4981"/>
    <n v="30073"/>
    <s v="KG"/>
    <x v="0"/>
    <s v="2026-10-26 00:00:00"/>
    <s v="TECO MSPT CNF  DLV  PRC  BCRQ CRFI EXPL*"/>
    <x v="20"/>
    <n v="15360"/>
    <s v="HALB"/>
    <s v="HALB"/>
    <n v="1E-3"/>
    <m/>
  </r>
  <r>
    <s v="40264301"/>
    <x v="20"/>
    <x v="1"/>
    <s v="001"/>
    <s v="4981"/>
    <n v="24521"/>
    <s v="KG"/>
    <x v="0"/>
    <s v="2026-10-27 00:00:00"/>
    <s v="TECO MSPT CNF  DLV  PRC  BCRQ CRFI EXPL*"/>
    <x v="20"/>
    <n v="25819.68"/>
    <s v="HALB"/>
    <s v="HALB"/>
    <n v="1E-3"/>
    <m/>
  </r>
  <r>
    <s v="894058438"/>
    <x v="20"/>
    <x v="2"/>
    <s v="001"/>
    <s v="4981"/>
    <n v="16537"/>
    <s v="KG"/>
    <x v="0"/>
    <s v="2026-10-26 00:00:00"/>
    <m/>
    <x v="20"/>
    <n v="0"/>
    <s v="HALB"/>
    <s v="HALB"/>
    <m/>
    <s v="Excluded order type (chart includes PI01 production orders only)"/>
  </r>
  <r>
    <s v="894058441"/>
    <x v="20"/>
    <x v="2"/>
    <s v="001"/>
    <s v="4981"/>
    <n v="8864"/>
    <s v="KG"/>
    <x v="0"/>
    <s v="2026-10-26 00:00:00"/>
    <m/>
    <x v="20"/>
    <n v="0"/>
    <s v="HALB"/>
    <s v="HALB"/>
    <m/>
    <s v="Excluded order type (chart includes PI01 production orders only)"/>
  </r>
  <r>
    <s v="893847846"/>
    <x v="21"/>
    <x v="2"/>
    <s v="001"/>
    <s v="4981"/>
    <n v="13000"/>
    <s v="KG"/>
    <x v="0"/>
    <s v="2026-10-26 00:00:00"/>
    <m/>
    <x v="21"/>
    <n v="0"/>
    <s v="HALB"/>
    <s v="HALB"/>
    <m/>
    <s v="Excluded order type (chart includes PI01 production orders only)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6026D-258F-4CB9-81B3-0E7F43F60E2E}" name="COIDWtdPivot" cacheId="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4:C27" firstHeaderRow="1" firstDataRow="2" firstDataCol="2" rowPageCount="1" colPageCount="1"/>
  <pivotFields count="16">
    <pivotField compact="0" outline="0" showAll="0"/>
    <pivotField axis="axisRow" compact="0" outline="0" showAll="0" defaultSubtota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axis="axisPage" compact="0" outline="0" showAll="0" defaultSubtotal="0">
      <items count="3">
        <item x="2"/>
        <item x="1"/>
        <item x="0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 defaultSubtotal="0">
      <items count="1">
        <item x="0"/>
      </items>
    </pivotField>
    <pivotField compact="0" outline="0" showAll="0"/>
    <pivotField compact="0" outline="0" showAll="0"/>
    <pivotField axis="axisRow" compact="0" outline="0" showAll="0" defaultSubtotal="0">
      <items count="22">
        <item x="21"/>
        <item x="12"/>
        <item x="2"/>
        <item x="11"/>
        <item x="5"/>
        <item x="1"/>
        <item x="3"/>
        <item x="18"/>
        <item x="14"/>
        <item x="10"/>
        <item x="16"/>
        <item x="20"/>
        <item x="4"/>
        <item x="6"/>
        <item x="9"/>
        <item x="13"/>
        <item x="7"/>
        <item x="15"/>
        <item x="19"/>
        <item x="17"/>
        <item x="8"/>
        <item x="0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"/>
    <field x="10"/>
  </rowFields>
  <rowItems count="22">
    <i>
      <x/>
      <x v="21"/>
    </i>
    <i>
      <x v="1"/>
      <x v="5"/>
    </i>
    <i>
      <x v="2"/>
      <x v="2"/>
    </i>
    <i>
      <x v="3"/>
      <x v="6"/>
    </i>
    <i>
      <x v="4"/>
      <x v="12"/>
    </i>
    <i>
      <x v="5"/>
      <x v="4"/>
    </i>
    <i>
      <x v="6"/>
      <x v="13"/>
    </i>
    <i>
      <x v="7"/>
      <x v="16"/>
    </i>
    <i>
      <x v="8"/>
      <x v="20"/>
    </i>
    <i>
      <x v="9"/>
      <x v="14"/>
    </i>
    <i>
      <x v="10"/>
      <x v="9"/>
    </i>
    <i>
      <x v="11"/>
      <x v="3"/>
    </i>
    <i>
      <x v="12"/>
      <x v="1"/>
    </i>
    <i>
      <x v="13"/>
      <x v="15"/>
    </i>
    <i>
      <x v="14"/>
      <x v="8"/>
    </i>
    <i>
      <x v="15"/>
      <x v="17"/>
    </i>
    <i>
      <x v="16"/>
      <x v="10"/>
    </i>
    <i>
      <x v="17"/>
      <x v="19"/>
    </i>
    <i>
      <x v="18"/>
      <x v="7"/>
    </i>
    <i>
      <x v="19"/>
      <x v="18"/>
    </i>
    <i>
      <x v="20"/>
      <x v="11"/>
    </i>
    <i>
      <x v="21"/>
      <x/>
    </i>
  </rowItems>
  <colFields count="1">
    <field x="7"/>
  </colFields>
  <colItems count="1">
    <i>
      <x/>
    </i>
  </colItems>
  <pageFields count="1">
    <pageField fld="2" hier="-1"/>
  </pageFields>
  <dataFields count="1">
    <dataField name="Sum of Delivered Quantity" fld="11" baseField="0" baseItem="0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showGridLines="0" workbookViewId="0">
      <pane ySplit="2" topLeftCell="A3" activePane="bottomLeft" state="frozen"/>
      <selection pane="bottomLeft" sqref="A1:P1"/>
    </sheetView>
  </sheetViews>
  <sheetFormatPr defaultRowHeight="15" x14ac:dyDescent="0.25"/>
  <sheetData>
    <row r="1" spans="1:16" ht="33.950000000000003" customHeight="1" x14ac:dyDescent="0.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x14ac:dyDescent="0.25">
      <c r="A2" s="7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</sheetData>
  <mergeCells count="2">
    <mergeCell ref="A1:P1"/>
    <mergeCell ref="A2:P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27"/>
  <sheetViews>
    <sheetView showGridLines="0" tabSelected="1" workbookViewId="0"/>
  </sheetViews>
  <sheetFormatPr defaultRowHeight="15" x14ac:dyDescent="0.25"/>
  <cols>
    <col min="1" max="1" width="24.85546875" bestFit="1" customWidth="1"/>
    <col min="2" max="2" width="42.85546875" bestFit="1" customWidth="1"/>
    <col min="3" max="3" width="17" bestFit="1" customWidth="1"/>
    <col min="4" max="4" width="11.28515625" bestFit="1" customWidth="1"/>
  </cols>
  <sheetData>
    <row r="2" spans="1:3" x14ac:dyDescent="0.25">
      <c r="A2" s="8" t="s">
        <v>4</v>
      </c>
      <c r="B2" t="s">
        <v>161</v>
      </c>
    </row>
    <row r="4" spans="1:3" x14ac:dyDescent="0.25">
      <c r="A4" s="8" t="s">
        <v>162</v>
      </c>
      <c r="C4" s="8" t="s">
        <v>9</v>
      </c>
    </row>
    <row r="5" spans="1:3" x14ac:dyDescent="0.25">
      <c r="A5" s="8" t="s">
        <v>3</v>
      </c>
      <c r="B5" s="8" t="s">
        <v>12</v>
      </c>
      <c r="C5" t="s">
        <v>24</v>
      </c>
    </row>
    <row r="6" spans="1:3" x14ac:dyDescent="0.25">
      <c r="A6" t="s">
        <v>19</v>
      </c>
      <c r="B6" t="s">
        <v>27</v>
      </c>
      <c r="C6" s="9">
        <v>3137</v>
      </c>
    </row>
    <row r="7" spans="1:3" x14ac:dyDescent="0.25">
      <c r="A7" t="s">
        <v>32</v>
      </c>
      <c r="B7" t="s">
        <v>37</v>
      </c>
      <c r="C7" s="9">
        <v>1512</v>
      </c>
    </row>
    <row r="8" spans="1:3" x14ac:dyDescent="0.25">
      <c r="A8" t="s">
        <v>39</v>
      </c>
      <c r="B8" t="s">
        <v>41</v>
      </c>
      <c r="C8" s="9">
        <v>17458</v>
      </c>
    </row>
    <row r="9" spans="1:3" x14ac:dyDescent="0.25">
      <c r="A9" t="s">
        <v>50</v>
      </c>
      <c r="B9" t="s">
        <v>51</v>
      </c>
      <c r="C9" s="9">
        <v>3060</v>
      </c>
    </row>
    <row r="10" spans="1:3" x14ac:dyDescent="0.25">
      <c r="A10" t="s">
        <v>53</v>
      </c>
      <c r="B10" t="s">
        <v>55</v>
      </c>
      <c r="C10" s="9">
        <v>1568</v>
      </c>
    </row>
    <row r="11" spans="1:3" x14ac:dyDescent="0.25">
      <c r="A11" t="s">
        <v>58</v>
      </c>
      <c r="B11" t="s">
        <v>59</v>
      </c>
      <c r="C11" s="9">
        <v>9440</v>
      </c>
    </row>
    <row r="12" spans="1:3" x14ac:dyDescent="0.25">
      <c r="A12" t="s">
        <v>62</v>
      </c>
      <c r="B12" t="s">
        <v>64</v>
      </c>
      <c r="C12" s="9">
        <v>1560</v>
      </c>
    </row>
    <row r="13" spans="1:3" x14ac:dyDescent="0.25">
      <c r="A13" t="s">
        <v>69</v>
      </c>
      <c r="B13" t="s">
        <v>71</v>
      </c>
      <c r="C13" s="9">
        <v>420</v>
      </c>
    </row>
    <row r="14" spans="1:3" x14ac:dyDescent="0.25">
      <c r="A14" t="s">
        <v>73</v>
      </c>
      <c r="B14" t="s">
        <v>74</v>
      </c>
      <c r="C14" s="9">
        <v>600</v>
      </c>
    </row>
    <row r="15" spans="1:3" x14ac:dyDescent="0.25">
      <c r="A15" t="s">
        <v>81</v>
      </c>
      <c r="B15" t="s">
        <v>83</v>
      </c>
      <c r="C15" s="9">
        <v>0</v>
      </c>
    </row>
    <row r="16" spans="1:3" x14ac:dyDescent="0.25">
      <c r="A16" t="s">
        <v>85</v>
      </c>
      <c r="B16" t="s">
        <v>86</v>
      </c>
      <c r="C16" s="9">
        <v>1200</v>
      </c>
    </row>
    <row r="17" spans="1:3" x14ac:dyDescent="0.25">
      <c r="A17" t="s">
        <v>89</v>
      </c>
      <c r="B17" t="s">
        <v>90</v>
      </c>
      <c r="C17" s="9">
        <v>1141</v>
      </c>
    </row>
    <row r="18" spans="1:3" x14ac:dyDescent="0.25">
      <c r="A18" t="s">
        <v>92</v>
      </c>
      <c r="B18" t="s">
        <v>93</v>
      </c>
      <c r="C18" s="9">
        <v>4900</v>
      </c>
    </row>
    <row r="19" spans="1:3" x14ac:dyDescent="0.25">
      <c r="A19" t="s">
        <v>96</v>
      </c>
      <c r="B19" t="s">
        <v>97</v>
      </c>
      <c r="C19" s="9">
        <v>0</v>
      </c>
    </row>
    <row r="20" spans="1:3" x14ac:dyDescent="0.25">
      <c r="A20" t="s">
        <v>99</v>
      </c>
      <c r="B20" t="s">
        <v>100</v>
      </c>
      <c r="C20" s="9">
        <v>15384</v>
      </c>
    </row>
    <row r="21" spans="1:3" x14ac:dyDescent="0.25">
      <c r="A21" t="s">
        <v>102</v>
      </c>
      <c r="B21" t="s">
        <v>103</v>
      </c>
      <c r="C21" s="9">
        <v>0</v>
      </c>
    </row>
    <row r="22" spans="1:3" x14ac:dyDescent="0.25">
      <c r="A22" t="s">
        <v>106</v>
      </c>
      <c r="B22" t="s">
        <v>108</v>
      </c>
      <c r="C22" s="9">
        <v>10176</v>
      </c>
    </row>
    <row r="23" spans="1:3" x14ac:dyDescent="0.25">
      <c r="A23" t="s">
        <v>111</v>
      </c>
      <c r="B23" t="s">
        <v>113</v>
      </c>
      <c r="C23" s="9">
        <v>0</v>
      </c>
    </row>
    <row r="24" spans="1:3" x14ac:dyDescent="0.25">
      <c r="A24" t="s">
        <v>115</v>
      </c>
      <c r="B24" t="s">
        <v>116</v>
      </c>
      <c r="C24" s="9">
        <v>368462</v>
      </c>
    </row>
    <row r="25" spans="1:3" x14ac:dyDescent="0.25">
      <c r="A25" t="s">
        <v>121</v>
      </c>
      <c r="B25" t="s">
        <v>123</v>
      </c>
      <c r="C25" s="9">
        <v>0</v>
      </c>
    </row>
    <row r="26" spans="1:3" x14ac:dyDescent="0.25">
      <c r="A26" t="s">
        <v>125</v>
      </c>
      <c r="B26" t="s">
        <v>126</v>
      </c>
      <c r="C26" s="9">
        <v>265995.68</v>
      </c>
    </row>
    <row r="27" spans="1:3" x14ac:dyDescent="0.25">
      <c r="A27" t="s">
        <v>135</v>
      </c>
      <c r="B27" t="s">
        <v>136</v>
      </c>
      <c r="C27" s="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2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6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 spans="1:16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17000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3137</v>
      </c>
      <c r="M2" t="s">
        <v>28</v>
      </c>
      <c r="N2" t="s">
        <v>29</v>
      </c>
      <c r="P2" t="s">
        <v>30</v>
      </c>
    </row>
    <row r="3" spans="1:16" x14ac:dyDescent="0.25">
      <c r="A3" t="s">
        <v>31</v>
      </c>
      <c r="B3" t="s">
        <v>32</v>
      </c>
      <c r="C3" t="s">
        <v>33</v>
      </c>
      <c r="D3" t="s">
        <v>21</v>
      </c>
      <c r="E3" t="s">
        <v>22</v>
      </c>
      <c r="F3">
        <v>2196</v>
      </c>
      <c r="G3" t="s">
        <v>34</v>
      </c>
      <c r="H3" t="s">
        <v>24</v>
      </c>
      <c r="I3" t="s">
        <v>35</v>
      </c>
      <c r="J3" t="s">
        <v>36</v>
      </c>
      <c r="K3" t="s">
        <v>37</v>
      </c>
      <c r="L3">
        <v>1512</v>
      </c>
      <c r="M3" t="s">
        <v>28</v>
      </c>
      <c r="N3" t="s">
        <v>29</v>
      </c>
      <c r="O3">
        <v>0.01</v>
      </c>
    </row>
    <row r="4" spans="1:16" x14ac:dyDescent="0.25">
      <c r="A4" t="s">
        <v>38</v>
      </c>
      <c r="B4" t="s">
        <v>39</v>
      </c>
      <c r="C4" t="s">
        <v>33</v>
      </c>
      <c r="D4" t="s">
        <v>21</v>
      </c>
      <c r="E4" t="s">
        <v>22</v>
      </c>
      <c r="F4">
        <v>3044</v>
      </c>
      <c r="G4" t="s">
        <v>34</v>
      </c>
      <c r="H4" t="s">
        <v>24</v>
      </c>
      <c r="I4" t="s">
        <v>35</v>
      </c>
      <c r="J4" t="s">
        <v>40</v>
      </c>
      <c r="K4" t="s">
        <v>41</v>
      </c>
      <c r="L4">
        <v>560</v>
      </c>
      <c r="M4" t="s">
        <v>28</v>
      </c>
      <c r="N4" t="s">
        <v>29</v>
      </c>
      <c r="O4">
        <v>8.0000000000000002E-3</v>
      </c>
    </row>
    <row r="5" spans="1:16" x14ac:dyDescent="0.25">
      <c r="A5" t="s">
        <v>42</v>
      </c>
      <c r="B5" t="s">
        <v>39</v>
      </c>
      <c r="C5" t="s">
        <v>33</v>
      </c>
      <c r="D5" t="s">
        <v>21</v>
      </c>
      <c r="E5" t="s">
        <v>22</v>
      </c>
      <c r="F5">
        <v>3690</v>
      </c>
      <c r="G5" t="s">
        <v>34</v>
      </c>
      <c r="H5" t="s">
        <v>24</v>
      </c>
      <c r="I5" t="s">
        <v>35</v>
      </c>
      <c r="J5" t="s">
        <v>40</v>
      </c>
      <c r="K5" t="s">
        <v>41</v>
      </c>
      <c r="L5">
        <v>3360</v>
      </c>
      <c r="M5" t="s">
        <v>28</v>
      </c>
      <c r="N5" t="s">
        <v>29</v>
      </c>
      <c r="O5">
        <v>8.0000000000000002E-3</v>
      </c>
    </row>
    <row r="6" spans="1:16" x14ac:dyDescent="0.25">
      <c r="A6" t="s">
        <v>43</v>
      </c>
      <c r="B6" t="s">
        <v>39</v>
      </c>
      <c r="C6" t="s">
        <v>33</v>
      </c>
      <c r="D6" t="s">
        <v>21</v>
      </c>
      <c r="E6" t="s">
        <v>22</v>
      </c>
      <c r="F6">
        <v>631</v>
      </c>
      <c r="G6" t="s">
        <v>34</v>
      </c>
      <c r="H6" t="s">
        <v>24</v>
      </c>
      <c r="I6" t="s">
        <v>35</v>
      </c>
      <c r="J6" t="s">
        <v>44</v>
      </c>
      <c r="K6" t="s">
        <v>41</v>
      </c>
      <c r="L6">
        <v>0</v>
      </c>
      <c r="M6" t="s">
        <v>28</v>
      </c>
      <c r="N6" t="s">
        <v>29</v>
      </c>
      <c r="O6">
        <v>8.0000000000000002E-3</v>
      </c>
    </row>
    <row r="7" spans="1:16" x14ac:dyDescent="0.25">
      <c r="A7" t="s">
        <v>45</v>
      </c>
      <c r="B7" t="s">
        <v>39</v>
      </c>
      <c r="C7" t="s">
        <v>33</v>
      </c>
      <c r="D7" t="s">
        <v>21</v>
      </c>
      <c r="E7" t="s">
        <v>22</v>
      </c>
      <c r="F7">
        <v>9223</v>
      </c>
      <c r="G7" t="s">
        <v>34</v>
      </c>
      <c r="H7" t="s">
        <v>24</v>
      </c>
      <c r="I7" t="s">
        <v>35</v>
      </c>
      <c r="J7" t="s">
        <v>40</v>
      </c>
      <c r="K7" t="s">
        <v>41</v>
      </c>
      <c r="L7">
        <v>6080</v>
      </c>
      <c r="M7" t="s">
        <v>28</v>
      </c>
      <c r="N7" t="s">
        <v>29</v>
      </c>
      <c r="O7">
        <v>8.0000000000000002E-3</v>
      </c>
    </row>
    <row r="8" spans="1:16" x14ac:dyDescent="0.25">
      <c r="A8" t="s">
        <v>46</v>
      </c>
      <c r="B8" t="s">
        <v>39</v>
      </c>
      <c r="C8" t="s">
        <v>33</v>
      </c>
      <c r="D8" t="s">
        <v>21</v>
      </c>
      <c r="E8" t="s">
        <v>22</v>
      </c>
      <c r="F8">
        <v>6220</v>
      </c>
      <c r="G8" t="s">
        <v>34</v>
      </c>
      <c r="H8" t="s">
        <v>24</v>
      </c>
      <c r="I8" t="s">
        <v>35</v>
      </c>
      <c r="J8" t="s">
        <v>40</v>
      </c>
      <c r="K8" t="s">
        <v>41</v>
      </c>
      <c r="L8">
        <v>6160</v>
      </c>
      <c r="M8" t="s">
        <v>28</v>
      </c>
      <c r="N8" t="s">
        <v>29</v>
      </c>
      <c r="O8">
        <v>8.0000000000000002E-3</v>
      </c>
    </row>
    <row r="9" spans="1:16" x14ac:dyDescent="0.25">
      <c r="A9" t="s">
        <v>47</v>
      </c>
      <c r="B9" t="s">
        <v>39</v>
      </c>
      <c r="C9" t="s">
        <v>33</v>
      </c>
      <c r="D9" t="s">
        <v>21</v>
      </c>
      <c r="E9" t="s">
        <v>22</v>
      </c>
      <c r="F9">
        <v>700</v>
      </c>
      <c r="G9" t="s">
        <v>34</v>
      </c>
      <c r="H9" t="s">
        <v>24</v>
      </c>
      <c r="I9" t="s">
        <v>35</v>
      </c>
      <c r="J9" t="s">
        <v>48</v>
      </c>
      <c r="K9" t="s">
        <v>41</v>
      </c>
      <c r="L9">
        <v>1298</v>
      </c>
      <c r="M9" t="s">
        <v>28</v>
      </c>
      <c r="N9" t="s">
        <v>29</v>
      </c>
      <c r="O9">
        <v>8.0000000000000002E-3</v>
      </c>
    </row>
    <row r="10" spans="1:16" x14ac:dyDescent="0.25">
      <c r="A10" t="s">
        <v>49</v>
      </c>
      <c r="B10" t="s">
        <v>50</v>
      </c>
      <c r="C10" t="s">
        <v>33</v>
      </c>
      <c r="D10" t="s">
        <v>21</v>
      </c>
      <c r="E10" t="s">
        <v>22</v>
      </c>
      <c r="F10">
        <v>2008</v>
      </c>
      <c r="G10" t="s">
        <v>34</v>
      </c>
      <c r="H10" t="s">
        <v>24</v>
      </c>
      <c r="I10" t="s">
        <v>35</v>
      </c>
      <c r="J10" t="s">
        <v>36</v>
      </c>
      <c r="K10" t="s">
        <v>51</v>
      </c>
      <c r="L10">
        <v>3060</v>
      </c>
      <c r="M10" t="s">
        <v>28</v>
      </c>
      <c r="N10" t="s">
        <v>29</v>
      </c>
      <c r="O10">
        <v>4.7999999999999996E-3</v>
      </c>
    </row>
    <row r="11" spans="1:16" x14ac:dyDescent="0.25">
      <c r="A11" t="s">
        <v>52</v>
      </c>
      <c r="B11" t="s">
        <v>53</v>
      </c>
      <c r="C11" t="s">
        <v>33</v>
      </c>
      <c r="D11" t="s">
        <v>21</v>
      </c>
      <c r="E11" t="s">
        <v>22</v>
      </c>
      <c r="F11">
        <v>1670</v>
      </c>
      <c r="G11" t="s">
        <v>34</v>
      </c>
      <c r="H11" t="s">
        <v>24</v>
      </c>
      <c r="I11" t="s">
        <v>25</v>
      </c>
      <c r="J11" t="s">
        <v>54</v>
      </c>
      <c r="K11" t="s">
        <v>55</v>
      </c>
      <c r="L11">
        <v>1568</v>
      </c>
      <c r="M11" t="s">
        <v>28</v>
      </c>
      <c r="N11" t="s">
        <v>56</v>
      </c>
      <c r="O11">
        <v>2.3999999999999998E-3</v>
      </c>
    </row>
    <row r="12" spans="1:16" x14ac:dyDescent="0.25">
      <c r="A12" t="s">
        <v>57</v>
      </c>
      <c r="B12" t="s">
        <v>58</v>
      </c>
      <c r="C12" t="s">
        <v>33</v>
      </c>
      <c r="D12" t="s">
        <v>21</v>
      </c>
      <c r="E12" t="s">
        <v>22</v>
      </c>
      <c r="F12">
        <v>5793</v>
      </c>
      <c r="G12" t="s">
        <v>34</v>
      </c>
      <c r="H12" t="s">
        <v>24</v>
      </c>
      <c r="I12" t="s">
        <v>35</v>
      </c>
      <c r="J12" t="s">
        <v>36</v>
      </c>
      <c r="K12" t="s">
        <v>59</v>
      </c>
      <c r="L12">
        <v>9440</v>
      </c>
      <c r="M12" t="s">
        <v>28</v>
      </c>
      <c r="N12" t="s">
        <v>29</v>
      </c>
      <c r="O12">
        <v>9.1999999999999998E-3</v>
      </c>
    </row>
    <row r="13" spans="1:16" x14ac:dyDescent="0.25">
      <c r="A13" t="s">
        <v>60</v>
      </c>
      <c r="B13" t="s">
        <v>58</v>
      </c>
      <c r="C13" t="s">
        <v>33</v>
      </c>
      <c r="D13" t="s">
        <v>21</v>
      </c>
      <c r="E13" t="s">
        <v>22</v>
      </c>
      <c r="F13">
        <v>1809</v>
      </c>
      <c r="G13" t="s">
        <v>34</v>
      </c>
      <c r="H13" t="s">
        <v>24</v>
      </c>
      <c r="I13" t="s">
        <v>35</v>
      </c>
      <c r="J13" t="s">
        <v>44</v>
      </c>
      <c r="K13" t="s">
        <v>59</v>
      </c>
      <c r="L13">
        <v>0</v>
      </c>
      <c r="M13" t="s">
        <v>28</v>
      </c>
      <c r="N13" t="s">
        <v>29</v>
      </c>
      <c r="O13">
        <v>9.1999999999999998E-3</v>
      </c>
    </row>
    <row r="14" spans="1:16" x14ac:dyDescent="0.25">
      <c r="A14" t="s">
        <v>61</v>
      </c>
      <c r="B14" t="s">
        <v>62</v>
      </c>
      <c r="C14" t="s">
        <v>33</v>
      </c>
      <c r="D14" t="s">
        <v>21</v>
      </c>
      <c r="E14" t="s">
        <v>22</v>
      </c>
      <c r="F14">
        <v>2250</v>
      </c>
      <c r="G14" t="s">
        <v>34</v>
      </c>
      <c r="H14" t="s">
        <v>24</v>
      </c>
      <c r="I14" t="s">
        <v>35</v>
      </c>
      <c r="J14" t="s">
        <v>63</v>
      </c>
      <c r="K14" t="s">
        <v>64</v>
      </c>
      <c r="L14">
        <v>1560</v>
      </c>
      <c r="M14" t="s">
        <v>28</v>
      </c>
      <c r="N14" t="s">
        <v>65</v>
      </c>
      <c r="O14">
        <v>7.1999999999999998E-3</v>
      </c>
    </row>
    <row r="15" spans="1:16" x14ac:dyDescent="0.25">
      <c r="A15" t="s">
        <v>66</v>
      </c>
      <c r="B15" t="s">
        <v>62</v>
      </c>
      <c r="C15" t="s">
        <v>33</v>
      </c>
      <c r="D15" t="s">
        <v>21</v>
      </c>
      <c r="E15" t="s">
        <v>22</v>
      </c>
      <c r="F15">
        <v>2250</v>
      </c>
      <c r="G15" t="s">
        <v>34</v>
      </c>
      <c r="H15" t="s">
        <v>24</v>
      </c>
      <c r="I15" t="s">
        <v>25</v>
      </c>
      <c r="J15" t="s">
        <v>67</v>
      </c>
      <c r="K15" t="s">
        <v>64</v>
      </c>
      <c r="L15">
        <v>0</v>
      </c>
      <c r="M15" t="s">
        <v>28</v>
      </c>
      <c r="N15" t="s">
        <v>65</v>
      </c>
      <c r="O15">
        <v>7.1999999999999998E-3</v>
      </c>
    </row>
    <row r="16" spans="1:16" x14ac:dyDescent="0.25">
      <c r="A16" t="s">
        <v>68</v>
      </c>
      <c r="B16" t="s">
        <v>69</v>
      </c>
      <c r="C16" t="s">
        <v>33</v>
      </c>
      <c r="D16" t="s">
        <v>21</v>
      </c>
      <c r="E16" t="s">
        <v>22</v>
      </c>
      <c r="F16">
        <v>357</v>
      </c>
      <c r="G16" t="s">
        <v>34</v>
      </c>
      <c r="H16" t="s">
        <v>24</v>
      </c>
      <c r="I16" t="s">
        <v>35</v>
      </c>
      <c r="J16" t="s">
        <v>70</v>
      </c>
      <c r="K16" t="s">
        <v>71</v>
      </c>
      <c r="L16">
        <v>420</v>
      </c>
      <c r="M16" t="s">
        <v>28</v>
      </c>
      <c r="N16" t="s">
        <v>65</v>
      </c>
      <c r="O16">
        <v>6.0000000000000001E-3</v>
      </c>
    </row>
    <row r="17" spans="1:16" x14ac:dyDescent="0.25">
      <c r="A17" t="s">
        <v>72</v>
      </c>
      <c r="B17" t="s">
        <v>73</v>
      </c>
      <c r="C17" t="s">
        <v>33</v>
      </c>
      <c r="D17" t="s">
        <v>21</v>
      </c>
      <c r="E17" t="s">
        <v>22</v>
      </c>
      <c r="F17">
        <v>675</v>
      </c>
      <c r="G17" t="s">
        <v>34</v>
      </c>
      <c r="H17" t="s">
        <v>24</v>
      </c>
      <c r="I17" t="s">
        <v>35</v>
      </c>
      <c r="J17" t="s">
        <v>54</v>
      </c>
      <c r="K17" t="s">
        <v>74</v>
      </c>
      <c r="L17">
        <v>600</v>
      </c>
      <c r="M17" t="s">
        <v>28</v>
      </c>
      <c r="N17" t="s">
        <v>75</v>
      </c>
      <c r="O17">
        <v>1.44E-2</v>
      </c>
    </row>
    <row r="18" spans="1:16" x14ac:dyDescent="0.25">
      <c r="A18" t="s">
        <v>76</v>
      </c>
      <c r="B18" t="s">
        <v>73</v>
      </c>
      <c r="C18" t="s">
        <v>77</v>
      </c>
      <c r="D18" t="s">
        <v>21</v>
      </c>
      <c r="E18" t="s">
        <v>22</v>
      </c>
      <c r="F18">
        <v>266664</v>
      </c>
      <c r="G18" t="s">
        <v>78</v>
      </c>
      <c r="H18" t="s">
        <v>24</v>
      </c>
      <c r="I18" t="s">
        <v>79</v>
      </c>
      <c r="K18" t="s">
        <v>74</v>
      </c>
      <c r="L18">
        <v>0</v>
      </c>
      <c r="M18" t="s">
        <v>28</v>
      </c>
      <c r="N18" t="s">
        <v>75</v>
      </c>
      <c r="P18" t="s">
        <v>30</v>
      </c>
    </row>
    <row r="19" spans="1:16" x14ac:dyDescent="0.25">
      <c r="A19" t="s">
        <v>80</v>
      </c>
      <c r="B19" t="s">
        <v>81</v>
      </c>
      <c r="C19" t="s">
        <v>33</v>
      </c>
      <c r="D19" t="s">
        <v>21</v>
      </c>
      <c r="E19" t="s">
        <v>22</v>
      </c>
      <c r="F19">
        <v>3600</v>
      </c>
      <c r="G19" t="s">
        <v>34</v>
      </c>
      <c r="H19" t="s">
        <v>24</v>
      </c>
      <c r="I19" t="s">
        <v>82</v>
      </c>
      <c r="J19" t="s">
        <v>67</v>
      </c>
      <c r="K19" t="s">
        <v>83</v>
      </c>
      <c r="L19">
        <v>0</v>
      </c>
      <c r="M19" t="s">
        <v>28</v>
      </c>
      <c r="N19" t="s">
        <v>65</v>
      </c>
      <c r="O19">
        <v>7.1999999999999998E-3</v>
      </c>
    </row>
    <row r="20" spans="1:16" x14ac:dyDescent="0.25">
      <c r="A20" t="s">
        <v>84</v>
      </c>
      <c r="B20" t="s">
        <v>85</v>
      </c>
      <c r="C20" t="s">
        <v>33</v>
      </c>
      <c r="D20" t="s">
        <v>21</v>
      </c>
      <c r="E20" t="s">
        <v>22</v>
      </c>
      <c r="F20">
        <v>962</v>
      </c>
      <c r="G20" t="s">
        <v>34</v>
      </c>
      <c r="H20" t="s">
        <v>24</v>
      </c>
      <c r="I20" t="s">
        <v>35</v>
      </c>
      <c r="J20" t="s">
        <v>36</v>
      </c>
      <c r="K20" t="s">
        <v>86</v>
      </c>
      <c r="L20">
        <v>1200</v>
      </c>
      <c r="M20" t="s">
        <v>28</v>
      </c>
      <c r="N20" t="s">
        <v>87</v>
      </c>
      <c r="O20">
        <v>8.4799999999999997E-3</v>
      </c>
    </row>
    <row r="21" spans="1:16" x14ac:dyDescent="0.25">
      <c r="A21" t="s">
        <v>88</v>
      </c>
      <c r="B21" t="s">
        <v>89</v>
      </c>
      <c r="C21" t="s">
        <v>33</v>
      </c>
      <c r="D21" t="s">
        <v>21</v>
      </c>
      <c r="E21" t="s">
        <v>22</v>
      </c>
      <c r="F21">
        <v>989</v>
      </c>
      <c r="G21" t="s">
        <v>34</v>
      </c>
      <c r="H21" t="s">
        <v>24</v>
      </c>
      <c r="I21" t="s">
        <v>35</v>
      </c>
      <c r="J21" t="s">
        <v>48</v>
      </c>
      <c r="K21" t="s">
        <v>90</v>
      </c>
      <c r="L21">
        <v>1141</v>
      </c>
      <c r="M21" t="s">
        <v>28</v>
      </c>
      <c r="N21" t="s">
        <v>29</v>
      </c>
      <c r="O21">
        <v>8.4799999999999997E-3</v>
      </c>
    </row>
    <row r="22" spans="1:16" x14ac:dyDescent="0.25">
      <c r="A22" t="s">
        <v>91</v>
      </c>
      <c r="B22" t="s">
        <v>92</v>
      </c>
      <c r="C22" t="s">
        <v>33</v>
      </c>
      <c r="D22" t="s">
        <v>21</v>
      </c>
      <c r="E22" t="s">
        <v>22</v>
      </c>
      <c r="F22">
        <v>4726</v>
      </c>
      <c r="G22" t="s">
        <v>23</v>
      </c>
      <c r="H22" t="s">
        <v>24</v>
      </c>
      <c r="I22" t="s">
        <v>35</v>
      </c>
      <c r="J22" t="s">
        <v>36</v>
      </c>
      <c r="K22" t="s">
        <v>93</v>
      </c>
      <c r="L22">
        <v>4900</v>
      </c>
      <c r="M22" t="s">
        <v>94</v>
      </c>
      <c r="N22" t="s">
        <v>94</v>
      </c>
      <c r="O22">
        <v>1E-3</v>
      </c>
    </row>
    <row r="23" spans="1:16" x14ac:dyDescent="0.25">
      <c r="A23" t="s">
        <v>95</v>
      </c>
      <c r="B23" t="s">
        <v>96</v>
      </c>
      <c r="C23" t="s">
        <v>77</v>
      </c>
      <c r="D23" t="s">
        <v>21</v>
      </c>
      <c r="E23" t="s">
        <v>22</v>
      </c>
      <c r="F23">
        <v>15000</v>
      </c>
      <c r="G23" t="s">
        <v>23</v>
      </c>
      <c r="H23" t="s">
        <v>24</v>
      </c>
      <c r="I23" t="s">
        <v>35</v>
      </c>
      <c r="K23" t="s">
        <v>97</v>
      </c>
      <c r="L23">
        <v>0</v>
      </c>
      <c r="M23" t="s">
        <v>94</v>
      </c>
      <c r="N23" t="s">
        <v>94</v>
      </c>
      <c r="P23" t="s">
        <v>30</v>
      </c>
    </row>
    <row r="24" spans="1:16" x14ac:dyDescent="0.25">
      <c r="A24" t="s">
        <v>98</v>
      </c>
      <c r="B24" t="s">
        <v>99</v>
      </c>
      <c r="C24" t="s">
        <v>33</v>
      </c>
      <c r="D24" t="s">
        <v>21</v>
      </c>
      <c r="E24" t="s">
        <v>22</v>
      </c>
      <c r="F24">
        <v>56250</v>
      </c>
      <c r="G24" t="s">
        <v>23</v>
      </c>
      <c r="H24" t="s">
        <v>24</v>
      </c>
      <c r="I24" t="s">
        <v>25</v>
      </c>
      <c r="J24" t="s">
        <v>36</v>
      </c>
      <c r="K24" t="s">
        <v>100</v>
      </c>
      <c r="L24">
        <v>15384</v>
      </c>
      <c r="M24" t="s">
        <v>94</v>
      </c>
      <c r="N24" t="s">
        <v>94</v>
      </c>
      <c r="O24">
        <v>1E-3</v>
      </c>
    </row>
    <row r="25" spans="1:16" x14ac:dyDescent="0.25">
      <c r="A25" t="s">
        <v>101</v>
      </c>
      <c r="B25" t="s">
        <v>102</v>
      </c>
      <c r="C25" t="s">
        <v>77</v>
      </c>
      <c r="D25" t="s">
        <v>21</v>
      </c>
      <c r="E25" t="s">
        <v>22</v>
      </c>
      <c r="F25">
        <v>719972</v>
      </c>
      <c r="G25" t="s">
        <v>23</v>
      </c>
      <c r="H25" t="s">
        <v>24</v>
      </c>
      <c r="I25" t="s">
        <v>25</v>
      </c>
      <c r="K25" t="s">
        <v>103</v>
      </c>
      <c r="L25">
        <v>0</v>
      </c>
      <c r="M25" t="s">
        <v>94</v>
      </c>
      <c r="N25" t="s">
        <v>94</v>
      </c>
      <c r="P25" t="s">
        <v>30</v>
      </c>
    </row>
    <row r="26" spans="1:16" x14ac:dyDescent="0.25">
      <c r="A26" t="s">
        <v>104</v>
      </c>
      <c r="B26" t="s">
        <v>102</v>
      </c>
      <c r="C26" t="s">
        <v>77</v>
      </c>
      <c r="D26" t="s">
        <v>21</v>
      </c>
      <c r="E26" t="s">
        <v>22</v>
      </c>
      <c r="F26">
        <v>1103</v>
      </c>
      <c r="G26" t="s">
        <v>23</v>
      </c>
      <c r="H26" t="s">
        <v>24</v>
      </c>
      <c r="I26" t="s">
        <v>25</v>
      </c>
      <c r="K26" t="s">
        <v>103</v>
      </c>
      <c r="L26">
        <v>0</v>
      </c>
      <c r="M26" t="s">
        <v>94</v>
      </c>
      <c r="N26" t="s">
        <v>94</v>
      </c>
      <c r="P26" t="s">
        <v>30</v>
      </c>
    </row>
    <row r="27" spans="1:16" x14ac:dyDescent="0.25">
      <c r="A27" t="s">
        <v>105</v>
      </c>
      <c r="B27" t="s">
        <v>106</v>
      </c>
      <c r="C27" t="s">
        <v>33</v>
      </c>
      <c r="D27" t="s">
        <v>21</v>
      </c>
      <c r="E27" t="s">
        <v>22</v>
      </c>
      <c r="F27">
        <v>8160</v>
      </c>
      <c r="G27" t="s">
        <v>23</v>
      </c>
      <c r="H27" t="s">
        <v>24</v>
      </c>
      <c r="I27" t="s">
        <v>35</v>
      </c>
      <c r="J27" t="s">
        <v>107</v>
      </c>
      <c r="K27" t="s">
        <v>108</v>
      </c>
      <c r="L27">
        <v>10176</v>
      </c>
      <c r="M27" t="s">
        <v>94</v>
      </c>
      <c r="N27" t="s">
        <v>94</v>
      </c>
      <c r="O27">
        <v>1E-3</v>
      </c>
    </row>
    <row r="28" spans="1:16" x14ac:dyDescent="0.25">
      <c r="A28" t="s">
        <v>109</v>
      </c>
      <c r="B28" t="s">
        <v>106</v>
      </c>
      <c r="C28" t="s">
        <v>33</v>
      </c>
      <c r="D28" t="s">
        <v>21</v>
      </c>
      <c r="E28" t="s">
        <v>22</v>
      </c>
      <c r="F28">
        <v>24480</v>
      </c>
      <c r="G28" t="s">
        <v>23</v>
      </c>
      <c r="H28" t="s">
        <v>24</v>
      </c>
      <c r="I28" t="s">
        <v>25</v>
      </c>
      <c r="J28" t="s">
        <v>44</v>
      </c>
      <c r="K28" t="s">
        <v>108</v>
      </c>
      <c r="L28">
        <v>0</v>
      </c>
      <c r="M28" t="s">
        <v>94</v>
      </c>
      <c r="N28" t="s">
        <v>94</v>
      </c>
      <c r="O28">
        <v>1E-3</v>
      </c>
    </row>
    <row r="29" spans="1:16" x14ac:dyDescent="0.25">
      <c r="A29" t="s">
        <v>110</v>
      </c>
      <c r="B29" t="s">
        <v>111</v>
      </c>
      <c r="C29" t="s">
        <v>77</v>
      </c>
      <c r="D29" t="s">
        <v>21</v>
      </c>
      <c r="E29" t="s">
        <v>22</v>
      </c>
      <c r="F29">
        <v>672000</v>
      </c>
      <c r="G29" t="s">
        <v>23</v>
      </c>
      <c r="H29" t="s">
        <v>24</v>
      </c>
      <c r="I29" t="s">
        <v>112</v>
      </c>
      <c r="K29" t="s">
        <v>113</v>
      </c>
      <c r="L29">
        <v>0</v>
      </c>
      <c r="M29" t="s">
        <v>94</v>
      </c>
      <c r="N29" t="s">
        <v>94</v>
      </c>
      <c r="P29" t="s">
        <v>30</v>
      </c>
    </row>
    <row r="30" spans="1:16" x14ac:dyDescent="0.25">
      <c r="A30" t="s">
        <v>114</v>
      </c>
      <c r="B30" t="s">
        <v>115</v>
      </c>
      <c r="C30" t="s">
        <v>33</v>
      </c>
      <c r="D30" t="s">
        <v>21</v>
      </c>
      <c r="E30" t="s">
        <v>22</v>
      </c>
      <c r="F30">
        <v>50625</v>
      </c>
      <c r="G30" t="s">
        <v>23</v>
      </c>
      <c r="H30" t="s">
        <v>24</v>
      </c>
      <c r="I30" t="s">
        <v>35</v>
      </c>
      <c r="J30" t="s">
        <v>36</v>
      </c>
      <c r="K30" t="s">
        <v>116</v>
      </c>
      <c r="L30">
        <v>88828</v>
      </c>
      <c r="M30" t="s">
        <v>94</v>
      </c>
      <c r="N30" t="s">
        <v>94</v>
      </c>
      <c r="O30">
        <v>1E-3</v>
      </c>
    </row>
    <row r="31" spans="1:16" x14ac:dyDescent="0.25">
      <c r="A31" t="s">
        <v>117</v>
      </c>
      <c r="B31" t="s">
        <v>115</v>
      </c>
      <c r="C31" t="s">
        <v>33</v>
      </c>
      <c r="D31" t="s">
        <v>21</v>
      </c>
      <c r="E31" t="s">
        <v>22</v>
      </c>
      <c r="F31">
        <v>191274</v>
      </c>
      <c r="G31" t="s">
        <v>23</v>
      </c>
      <c r="H31" t="s">
        <v>24</v>
      </c>
      <c r="I31" t="s">
        <v>35</v>
      </c>
      <c r="J31" t="s">
        <v>36</v>
      </c>
      <c r="K31" t="s">
        <v>116</v>
      </c>
      <c r="L31">
        <v>279634</v>
      </c>
      <c r="M31" t="s">
        <v>94</v>
      </c>
      <c r="N31" t="s">
        <v>94</v>
      </c>
      <c r="O31">
        <v>1E-3</v>
      </c>
    </row>
    <row r="32" spans="1:16" x14ac:dyDescent="0.25">
      <c r="A32" t="s">
        <v>118</v>
      </c>
      <c r="B32" t="s">
        <v>115</v>
      </c>
      <c r="C32" t="s">
        <v>77</v>
      </c>
      <c r="D32" t="s">
        <v>21</v>
      </c>
      <c r="E32" t="s">
        <v>22</v>
      </c>
      <c r="F32">
        <v>577886</v>
      </c>
      <c r="G32" t="s">
        <v>23</v>
      </c>
      <c r="H32" t="s">
        <v>24</v>
      </c>
      <c r="I32" t="s">
        <v>119</v>
      </c>
      <c r="K32" t="s">
        <v>116</v>
      </c>
      <c r="L32">
        <v>0</v>
      </c>
      <c r="M32" t="s">
        <v>94</v>
      </c>
      <c r="N32" t="s">
        <v>94</v>
      </c>
      <c r="P32" t="s">
        <v>30</v>
      </c>
    </row>
    <row r="33" spans="1:16" x14ac:dyDescent="0.25">
      <c r="A33" t="s">
        <v>120</v>
      </c>
      <c r="B33" t="s">
        <v>121</v>
      </c>
      <c r="C33" t="s">
        <v>77</v>
      </c>
      <c r="D33" t="s">
        <v>21</v>
      </c>
      <c r="E33" t="s">
        <v>22</v>
      </c>
      <c r="F33">
        <v>16537500</v>
      </c>
      <c r="G33" t="s">
        <v>23</v>
      </c>
      <c r="H33" t="s">
        <v>24</v>
      </c>
      <c r="I33" t="s">
        <v>122</v>
      </c>
      <c r="K33" t="s">
        <v>123</v>
      </c>
      <c r="L33">
        <v>0</v>
      </c>
      <c r="M33" t="s">
        <v>94</v>
      </c>
      <c r="N33" t="s">
        <v>94</v>
      </c>
      <c r="P33" t="s">
        <v>30</v>
      </c>
    </row>
    <row r="34" spans="1:16" x14ac:dyDescent="0.25">
      <c r="A34" t="s">
        <v>124</v>
      </c>
      <c r="B34" t="s">
        <v>125</v>
      </c>
      <c r="C34" t="s">
        <v>33</v>
      </c>
      <c r="D34" t="s">
        <v>21</v>
      </c>
      <c r="E34" t="s">
        <v>22</v>
      </c>
      <c r="F34">
        <v>35231</v>
      </c>
      <c r="G34" t="s">
        <v>23</v>
      </c>
      <c r="H34" t="s">
        <v>24</v>
      </c>
      <c r="I34" t="s">
        <v>35</v>
      </c>
      <c r="J34" t="s">
        <v>107</v>
      </c>
      <c r="K34" t="s">
        <v>126</v>
      </c>
      <c r="L34">
        <v>64032</v>
      </c>
      <c r="M34" t="s">
        <v>94</v>
      </c>
      <c r="N34" t="s">
        <v>94</v>
      </c>
      <c r="O34">
        <v>1E-3</v>
      </c>
    </row>
    <row r="35" spans="1:16" x14ac:dyDescent="0.25">
      <c r="A35" t="s">
        <v>127</v>
      </c>
      <c r="B35" t="s">
        <v>125</v>
      </c>
      <c r="C35" t="s">
        <v>33</v>
      </c>
      <c r="D35" t="s">
        <v>21</v>
      </c>
      <c r="E35" t="s">
        <v>22</v>
      </c>
      <c r="F35">
        <v>147864</v>
      </c>
      <c r="G35" t="s">
        <v>23</v>
      </c>
      <c r="H35" t="s">
        <v>24</v>
      </c>
      <c r="I35" t="s">
        <v>25</v>
      </c>
      <c r="J35" t="s">
        <v>36</v>
      </c>
      <c r="K35" t="s">
        <v>126</v>
      </c>
      <c r="L35">
        <v>67040</v>
      </c>
      <c r="M35" t="s">
        <v>94</v>
      </c>
      <c r="N35" t="s">
        <v>94</v>
      </c>
      <c r="O35">
        <v>1E-3</v>
      </c>
    </row>
    <row r="36" spans="1:16" x14ac:dyDescent="0.25">
      <c r="A36" t="s">
        <v>128</v>
      </c>
      <c r="B36" t="s">
        <v>125</v>
      </c>
      <c r="C36" t="s">
        <v>33</v>
      </c>
      <c r="D36" t="s">
        <v>21</v>
      </c>
      <c r="E36" t="s">
        <v>22</v>
      </c>
      <c r="F36">
        <v>17690</v>
      </c>
      <c r="G36" t="s">
        <v>23</v>
      </c>
      <c r="H36" t="s">
        <v>24</v>
      </c>
      <c r="I36" t="s">
        <v>25</v>
      </c>
      <c r="J36" t="s">
        <v>36</v>
      </c>
      <c r="K36" t="s">
        <v>126</v>
      </c>
      <c r="L36">
        <v>15328</v>
      </c>
      <c r="M36" t="s">
        <v>94</v>
      </c>
      <c r="N36" t="s">
        <v>94</v>
      </c>
      <c r="O36">
        <v>1E-3</v>
      </c>
    </row>
    <row r="37" spans="1:16" x14ac:dyDescent="0.25">
      <c r="A37" t="s">
        <v>129</v>
      </c>
      <c r="B37" t="s">
        <v>125</v>
      </c>
      <c r="C37" t="s">
        <v>33</v>
      </c>
      <c r="D37" t="s">
        <v>21</v>
      </c>
      <c r="E37" t="s">
        <v>22</v>
      </c>
      <c r="F37">
        <v>76672</v>
      </c>
      <c r="G37" t="s">
        <v>23</v>
      </c>
      <c r="H37" t="s">
        <v>24</v>
      </c>
      <c r="I37" t="s">
        <v>25</v>
      </c>
      <c r="J37" t="s">
        <v>36</v>
      </c>
      <c r="K37" t="s">
        <v>126</v>
      </c>
      <c r="L37">
        <v>78416</v>
      </c>
      <c r="M37" t="s">
        <v>94</v>
      </c>
      <c r="N37" t="s">
        <v>94</v>
      </c>
      <c r="O37">
        <v>1E-3</v>
      </c>
    </row>
    <row r="38" spans="1:16" x14ac:dyDescent="0.25">
      <c r="A38" t="s">
        <v>130</v>
      </c>
      <c r="B38" t="s">
        <v>125</v>
      </c>
      <c r="C38" t="s">
        <v>33</v>
      </c>
      <c r="D38" t="s">
        <v>21</v>
      </c>
      <c r="E38" t="s">
        <v>22</v>
      </c>
      <c r="F38">
        <v>30073</v>
      </c>
      <c r="G38" t="s">
        <v>23</v>
      </c>
      <c r="H38" t="s">
        <v>24</v>
      </c>
      <c r="I38" t="s">
        <v>35</v>
      </c>
      <c r="J38" t="s">
        <v>36</v>
      </c>
      <c r="K38" t="s">
        <v>126</v>
      </c>
      <c r="L38">
        <v>15360</v>
      </c>
      <c r="M38" t="s">
        <v>94</v>
      </c>
      <c r="N38" t="s">
        <v>94</v>
      </c>
      <c r="O38">
        <v>1E-3</v>
      </c>
    </row>
    <row r="39" spans="1:16" x14ac:dyDescent="0.25">
      <c r="A39" t="s">
        <v>131</v>
      </c>
      <c r="B39" t="s">
        <v>125</v>
      </c>
      <c r="C39" t="s">
        <v>33</v>
      </c>
      <c r="D39" t="s">
        <v>21</v>
      </c>
      <c r="E39" t="s">
        <v>22</v>
      </c>
      <c r="F39">
        <v>24521</v>
      </c>
      <c r="G39" t="s">
        <v>23</v>
      </c>
      <c r="H39" t="s">
        <v>24</v>
      </c>
      <c r="I39" t="s">
        <v>25</v>
      </c>
      <c r="J39" t="s">
        <v>36</v>
      </c>
      <c r="K39" t="s">
        <v>126</v>
      </c>
      <c r="L39">
        <v>25819.68</v>
      </c>
      <c r="M39" t="s">
        <v>94</v>
      </c>
      <c r="N39" t="s">
        <v>94</v>
      </c>
      <c r="O39">
        <v>1E-3</v>
      </c>
    </row>
    <row r="40" spans="1:16" x14ac:dyDescent="0.25">
      <c r="A40" t="s">
        <v>132</v>
      </c>
      <c r="B40" t="s">
        <v>125</v>
      </c>
      <c r="C40" t="s">
        <v>77</v>
      </c>
      <c r="D40" t="s">
        <v>21</v>
      </c>
      <c r="E40" t="s">
        <v>22</v>
      </c>
      <c r="F40">
        <v>16537</v>
      </c>
      <c r="G40" t="s">
        <v>23</v>
      </c>
      <c r="H40" t="s">
        <v>24</v>
      </c>
      <c r="I40" t="s">
        <v>35</v>
      </c>
      <c r="K40" t="s">
        <v>126</v>
      </c>
      <c r="L40">
        <v>0</v>
      </c>
      <c r="M40" t="s">
        <v>94</v>
      </c>
      <c r="N40" t="s">
        <v>94</v>
      </c>
      <c r="P40" t="s">
        <v>30</v>
      </c>
    </row>
    <row r="41" spans="1:16" x14ac:dyDescent="0.25">
      <c r="A41" t="s">
        <v>133</v>
      </c>
      <c r="B41" t="s">
        <v>125</v>
      </c>
      <c r="C41" t="s">
        <v>77</v>
      </c>
      <c r="D41" t="s">
        <v>21</v>
      </c>
      <c r="E41" t="s">
        <v>22</v>
      </c>
      <c r="F41">
        <v>8864</v>
      </c>
      <c r="G41" t="s">
        <v>23</v>
      </c>
      <c r="H41" t="s">
        <v>24</v>
      </c>
      <c r="I41" t="s">
        <v>35</v>
      </c>
      <c r="K41" t="s">
        <v>126</v>
      </c>
      <c r="L41">
        <v>0</v>
      </c>
      <c r="M41" t="s">
        <v>94</v>
      </c>
      <c r="N41" t="s">
        <v>94</v>
      </c>
      <c r="P41" t="s">
        <v>30</v>
      </c>
    </row>
    <row r="42" spans="1:16" x14ac:dyDescent="0.25">
      <c r="A42" t="s">
        <v>134</v>
      </c>
      <c r="B42" t="s">
        <v>135</v>
      </c>
      <c r="C42" t="s">
        <v>77</v>
      </c>
      <c r="D42" t="s">
        <v>21</v>
      </c>
      <c r="E42" t="s">
        <v>22</v>
      </c>
      <c r="F42">
        <v>13000</v>
      </c>
      <c r="G42" t="s">
        <v>23</v>
      </c>
      <c r="H42" t="s">
        <v>24</v>
      </c>
      <c r="I42" t="s">
        <v>35</v>
      </c>
      <c r="K42" t="s">
        <v>136</v>
      </c>
      <c r="L42">
        <v>0</v>
      </c>
      <c r="M42" t="s">
        <v>94</v>
      </c>
      <c r="N42" t="s">
        <v>94</v>
      </c>
      <c r="P42" t="s">
        <v>30</v>
      </c>
    </row>
  </sheetData>
  <autoFilter ref="A1:P4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2"/>
  <sheetViews>
    <sheetView workbookViewId="0"/>
  </sheetViews>
  <sheetFormatPr defaultRowHeight="15" x14ac:dyDescent="0.25"/>
  <sheetData>
    <row r="1" spans="1:16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</row>
    <row r="2" spans="1:16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17000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3137</v>
      </c>
      <c r="M2" t="s">
        <v>28</v>
      </c>
      <c r="N2" t="s">
        <v>29</v>
      </c>
      <c r="P2" t="s">
        <v>30</v>
      </c>
    </row>
    <row r="3" spans="1:16" x14ac:dyDescent="0.25">
      <c r="A3" t="s">
        <v>31</v>
      </c>
      <c r="B3" t="s">
        <v>32</v>
      </c>
      <c r="C3" t="s">
        <v>33</v>
      </c>
      <c r="D3" t="s">
        <v>21</v>
      </c>
      <c r="E3" t="s">
        <v>22</v>
      </c>
      <c r="F3">
        <v>2196</v>
      </c>
      <c r="G3" t="s">
        <v>34</v>
      </c>
      <c r="H3" t="s">
        <v>24</v>
      </c>
      <c r="I3" t="s">
        <v>35</v>
      </c>
      <c r="J3" t="s">
        <v>36</v>
      </c>
      <c r="K3" t="s">
        <v>37</v>
      </c>
      <c r="L3">
        <v>1512</v>
      </c>
      <c r="M3" t="s">
        <v>28</v>
      </c>
      <c r="N3" t="s">
        <v>29</v>
      </c>
      <c r="O3">
        <v>0.01</v>
      </c>
    </row>
    <row r="4" spans="1:16" x14ac:dyDescent="0.25">
      <c r="A4" t="s">
        <v>38</v>
      </c>
      <c r="B4" t="s">
        <v>39</v>
      </c>
      <c r="C4" t="s">
        <v>33</v>
      </c>
      <c r="D4" t="s">
        <v>21</v>
      </c>
      <c r="E4" t="s">
        <v>22</v>
      </c>
      <c r="F4">
        <v>3044</v>
      </c>
      <c r="G4" t="s">
        <v>34</v>
      </c>
      <c r="H4" t="s">
        <v>24</v>
      </c>
      <c r="I4" t="s">
        <v>35</v>
      </c>
      <c r="J4" t="s">
        <v>40</v>
      </c>
      <c r="K4" t="s">
        <v>41</v>
      </c>
      <c r="L4">
        <v>560</v>
      </c>
      <c r="M4" t="s">
        <v>28</v>
      </c>
      <c r="N4" t="s">
        <v>29</v>
      </c>
      <c r="O4">
        <v>8.0000000000000002E-3</v>
      </c>
    </row>
    <row r="5" spans="1:16" x14ac:dyDescent="0.25">
      <c r="A5" t="s">
        <v>42</v>
      </c>
      <c r="B5" t="s">
        <v>39</v>
      </c>
      <c r="C5" t="s">
        <v>33</v>
      </c>
      <c r="D5" t="s">
        <v>21</v>
      </c>
      <c r="E5" t="s">
        <v>22</v>
      </c>
      <c r="F5">
        <v>3690</v>
      </c>
      <c r="G5" t="s">
        <v>34</v>
      </c>
      <c r="H5" t="s">
        <v>24</v>
      </c>
      <c r="I5" t="s">
        <v>35</v>
      </c>
      <c r="J5" t="s">
        <v>40</v>
      </c>
      <c r="K5" t="s">
        <v>41</v>
      </c>
      <c r="L5">
        <v>3360</v>
      </c>
      <c r="M5" t="s">
        <v>28</v>
      </c>
      <c r="N5" t="s">
        <v>29</v>
      </c>
      <c r="O5">
        <v>8.0000000000000002E-3</v>
      </c>
    </row>
    <row r="6" spans="1:16" x14ac:dyDescent="0.25">
      <c r="A6" t="s">
        <v>43</v>
      </c>
      <c r="B6" t="s">
        <v>39</v>
      </c>
      <c r="C6" t="s">
        <v>33</v>
      </c>
      <c r="D6" t="s">
        <v>21</v>
      </c>
      <c r="E6" t="s">
        <v>22</v>
      </c>
      <c r="F6">
        <v>631</v>
      </c>
      <c r="G6" t="s">
        <v>34</v>
      </c>
      <c r="H6" t="s">
        <v>24</v>
      </c>
      <c r="I6" t="s">
        <v>35</v>
      </c>
      <c r="J6" t="s">
        <v>44</v>
      </c>
      <c r="K6" t="s">
        <v>41</v>
      </c>
      <c r="L6">
        <v>0</v>
      </c>
      <c r="M6" t="s">
        <v>28</v>
      </c>
      <c r="N6" t="s">
        <v>29</v>
      </c>
      <c r="O6">
        <v>8.0000000000000002E-3</v>
      </c>
    </row>
    <row r="7" spans="1:16" x14ac:dyDescent="0.25">
      <c r="A7" t="s">
        <v>45</v>
      </c>
      <c r="B7" t="s">
        <v>39</v>
      </c>
      <c r="C7" t="s">
        <v>33</v>
      </c>
      <c r="D7" t="s">
        <v>21</v>
      </c>
      <c r="E7" t="s">
        <v>22</v>
      </c>
      <c r="F7">
        <v>9223</v>
      </c>
      <c r="G7" t="s">
        <v>34</v>
      </c>
      <c r="H7" t="s">
        <v>24</v>
      </c>
      <c r="I7" t="s">
        <v>35</v>
      </c>
      <c r="J7" t="s">
        <v>40</v>
      </c>
      <c r="K7" t="s">
        <v>41</v>
      </c>
      <c r="L7">
        <v>6080</v>
      </c>
      <c r="M7" t="s">
        <v>28</v>
      </c>
      <c r="N7" t="s">
        <v>29</v>
      </c>
      <c r="O7">
        <v>8.0000000000000002E-3</v>
      </c>
    </row>
    <row r="8" spans="1:16" x14ac:dyDescent="0.25">
      <c r="A8" t="s">
        <v>46</v>
      </c>
      <c r="B8" t="s">
        <v>39</v>
      </c>
      <c r="C8" t="s">
        <v>33</v>
      </c>
      <c r="D8" t="s">
        <v>21</v>
      </c>
      <c r="E8" t="s">
        <v>22</v>
      </c>
      <c r="F8">
        <v>6220</v>
      </c>
      <c r="G8" t="s">
        <v>34</v>
      </c>
      <c r="H8" t="s">
        <v>24</v>
      </c>
      <c r="I8" t="s">
        <v>35</v>
      </c>
      <c r="J8" t="s">
        <v>40</v>
      </c>
      <c r="K8" t="s">
        <v>41</v>
      </c>
      <c r="L8">
        <v>6160</v>
      </c>
      <c r="M8" t="s">
        <v>28</v>
      </c>
      <c r="N8" t="s">
        <v>29</v>
      </c>
      <c r="O8">
        <v>8.0000000000000002E-3</v>
      </c>
    </row>
    <row r="9" spans="1:16" x14ac:dyDescent="0.25">
      <c r="A9" t="s">
        <v>47</v>
      </c>
      <c r="B9" t="s">
        <v>39</v>
      </c>
      <c r="C9" t="s">
        <v>33</v>
      </c>
      <c r="D9" t="s">
        <v>21</v>
      </c>
      <c r="E9" t="s">
        <v>22</v>
      </c>
      <c r="F9">
        <v>700</v>
      </c>
      <c r="G9" t="s">
        <v>34</v>
      </c>
      <c r="H9" t="s">
        <v>24</v>
      </c>
      <c r="I9" t="s">
        <v>35</v>
      </c>
      <c r="J9" t="s">
        <v>48</v>
      </c>
      <c r="K9" t="s">
        <v>41</v>
      </c>
      <c r="L9">
        <v>1298</v>
      </c>
      <c r="M9" t="s">
        <v>28</v>
      </c>
      <c r="N9" t="s">
        <v>29</v>
      </c>
      <c r="O9">
        <v>8.0000000000000002E-3</v>
      </c>
    </row>
    <row r="10" spans="1:16" x14ac:dyDescent="0.25">
      <c r="A10" t="s">
        <v>49</v>
      </c>
      <c r="B10" t="s">
        <v>50</v>
      </c>
      <c r="C10" t="s">
        <v>33</v>
      </c>
      <c r="D10" t="s">
        <v>21</v>
      </c>
      <c r="E10" t="s">
        <v>22</v>
      </c>
      <c r="F10">
        <v>2008</v>
      </c>
      <c r="G10" t="s">
        <v>34</v>
      </c>
      <c r="H10" t="s">
        <v>24</v>
      </c>
      <c r="I10" t="s">
        <v>35</v>
      </c>
      <c r="J10" t="s">
        <v>36</v>
      </c>
      <c r="K10" t="s">
        <v>51</v>
      </c>
      <c r="L10">
        <v>3060</v>
      </c>
      <c r="M10" t="s">
        <v>28</v>
      </c>
      <c r="N10" t="s">
        <v>29</v>
      </c>
      <c r="O10">
        <v>4.7999999999999996E-3</v>
      </c>
    </row>
    <row r="11" spans="1:16" x14ac:dyDescent="0.25">
      <c r="A11" t="s">
        <v>52</v>
      </c>
      <c r="B11" t="s">
        <v>53</v>
      </c>
      <c r="C11" t="s">
        <v>33</v>
      </c>
      <c r="D11" t="s">
        <v>21</v>
      </c>
      <c r="E11" t="s">
        <v>22</v>
      </c>
      <c r="F11">
        <v>1670</v>
      </c>
      <c r="G11" t="s">
        <v>34</v>
      </c>
      <c r="H11" t="s">
        <v>24</v>
      </c>
      <c r="I11" t="s">
        <v>25</v>
      </c>
      <c r="J11" t="s">
        <v>54</v>
      </c>
      <c r="K11" t="s">
        <v>55</v>
      </c>
      <c r="L11">
        <v>1568</v>
      </c>
      <c r="M11" t="s">
        <v>28</v>
      </c>
      <c r="N11" t="s">
        <v>56</v>
      </c>
      <c r="O11">
        <v>2.3999999999999998E-3</v>
      </c>
    </row>
    <row r="12" spans="1:16" x14ac:dyDescent="0.25">
      <c r="A12" t="s">
        <v>57</v>
      </c>
      <c r="B12" t="s">
        <v>58</v>
      </c>
      <c r="C12" t="s">
        <v>33</v>
      </c>
      <c r="D12" t="s">
        <v>21</v>
      </c>
      <c r="E12" t="s">
        <v>22</v>
      </c>
      <c r="F12">
        <v>5793</v>
      </c>
      <c r="G12" t="s">
        <v>34</v>
      </c>
      <c r="H12" t="s">
        <v>24</v>
      </c>
      <c r="I12" t="s">
        <v>35</v>
      </c>
      <c r="J12" t="s">
        <v>36</v>
      </c>
      <c r="K12" t="s">
        <v>59</v>
      </c>
      <c r="L12">
        <v>9440</v>
      </c>
      <c r="M12" t="s">
        <v>28</v>
      </c>
      <c r="N12" t="s">
        <v>29</v>
      </c>
      <c r="O12">
        <v>9.1999999999999998E-3</v>
      </c>
    </row>
    <row r="13" spans="1:16" x14ac:dyDescent="0.25">
      <c r="A13" t="s">
        <v>60</v>
      </c>
      <c r="B13" t="s">
        <v>58</v>
      </c>
      <c r="C13" t="s">
        <v>33</v>
      </c>
      <c r="D13" t="s">
        <v>21</v>
      </c>
      <c r="E13" t="s">
        <v>22</v>
      </c>
      <c r="F13">
        <v>1809</v>
      </c>
      <c r="G13" t="s">
        <v>34</v>
      </c>
      <c r="H13" t="s">
        <v>24</v>
      </c>
      <c r="I13" t="s">
        <v>35</v>
      </c>
      <c r="J13" t="s">
        <v>44</v>
      </c>
      <c r="K13" t="s">
        <v>59</v>
      </c>
      <c r="L13">
        <v>0</v>
      </c>
      <c r="M13" t="s">
        <v>28</v>
      </c>
      <c r="N13" t="s">
        <v>29</v>
      </c>
      <c r="O13">
        <v>9.1999999999999998E-3</v>
      </c>
    </row>
    <row r="14" spans="1:16" x14ac:dyDescent="0.25">
      <c r="A14" t="s">
        <v>61</v>
      </c>
      <c r="B14" t="s">
        <v>62</v>
      </c>
      <c r="C14" t="s">
        <v>33</v>
      </c>
      <c r="D14" t="s">
        <v>21</v>
      </c>
      <c r="E14" t="s">
        <v>22</v>
      </c>
      <c r="F14">
        <v>2250</v>
      </c>
      <c r="G14" t="s">
        <v>34</v>
      </c>
      <c r="H14" t="s">
        <v>24</v>
      </c>
      <c r="I14" t="s">
        <v>35</v>
      </c>
      <c r="J14" t="s">
        <v>63</v>
      </c>
      <c r="K14" t="s">
        <v>64</v>
      </c>
      <c r="L14">
        <v>1560</v>
      </c>
      <c r="M14" t="s">
        <v>28</v>
      </c>
      <c r="N14" t="s">
        <v>65</v>
      </c>
      <c r="O14">
        <v>7.1999999999999998E-3</v>
      </c>
    </row>
    <row r="15" spans="1:16" x14ac:dyDescent="0.25">
      <c r="A15" t="s">
        <v>66</v>
      </c>
      <c r="B15" t="s">
        <v>62</v>
      </c>
      <c r="C15" t="s">
        <v>33</v>
      </c>
      <c r="D15" t="s">
        <v>21</v>
      </c>
      <c r="E15" t="s">
        <v>22</v>
      </c>
      <c r="F15">
        <v>2250</v>
      </c>
      <c r="G15" t="s">
        <v>34</v>
      </c>
      <c r="H15" t="s">
        <v>24</v>
      </c>
      <c r="I15" t="s">
        <v>25</v>
      </c>
      <c r="J15" t="s">
        <v>67</v>
      </c>
      <c r="K15" t="s">
        <v>64</v>
      </c>
      <c r="L15">
        <v>0</v>
      </c>
      <c r="M15" t="s">
        <v>28</v>
      </c>
      <c r="N15" t="s">
        <v>65</v>
      </c>
      <c r="O15">
        <v>7.1999999999999998E-3</v>
      </c>
    </row>
    <row r="16" spans="1:16" x14ac:dyDescent="0.25">
      <c r="A16" t="s">
        <v>68</v>
      </c>
      <c r="B16" t="s">
        <v>69</v>
      </c>
      <c r="C16" t="s">
        <v>33</v>
      </c>
      <c r="D16" t="s">
        <v>21</v>
      </c>
      <c r="E16" t="s">
        <v>22</v>
      </c>
      <c r="F16">
        <v>357</v>
      </c>
      <c r="G16" t="s">
        <v>34</v>
      </c>
      <c r="H16" t="s">
        <v>24</v>
      </c>
      <c r="I16" t="s">
        <v>35</v>
      </c>
      <c r="J16" t="s">
        <v>70</v>
      </c>
      <c r="K16" t="s">
        <v>71</v>
      </c>
      <c r="L16">
        <v>420</v>
      </c>
      <c r="M16" t="s">
        <v>28</v>
      </c>
      <c r="N16" t="s">
        <v>65</v>
      </c>
      <c r="O16">
        <v>6.0000000000000001E-3</v>
      </c>
    </row>
    <row r="17" spans="1:16" x14ac:dyDescent="0.25">
      <c r="A17" t="s">
        <v>72</v>
      </c>
      <c r="B17" t="s">
        <v>73</v>
      </c>
      <c r="C17" t="s">
        <v>33</v>
      </c>
      <c r="D17" t="s">
        <v>21</v>
      </c>
      <c r="E17" t="s">
        <v>22</v>
      </c>
      <c r="F17">
        <v>675</v>
      </c>
      <c r="G17" t="s">
        <v>34</v>
      </c>
      <c r="H17" t="s">
        <v>24</v>
      </c>
      <c r="I17" t="s">
        <v>35</v>
      </c>
      <c r="J17" t="s">
        <v>54</v>
      </c>
      <c r="K17" t="s">
        <v>74</v>
      </c>
      <c r="L17">
        <v>600</v>
      </c>
      <c r="M17" t="s">
        <v>28</v>
      </c>
      <c r="N17" t="s">
        <v>75</v>
      </c>
      <c r="O17">
        <v>1.44E-2</v>
      </c>
    </row>
    <row r="18" spans="1:16" x14ac:dyDescent="0.25">
      <c r="A18" t="s">
        <v>76</v>
      </c>
      <c r="B18" t="s">
        <v>73</v>
      </c>
      <c r="C18" t="s">
        <v>77</v>
      </c>
      <c r="D18" t="s">
        <v>21</v>
      </c>
      <c r="E18" t="s">
        <v>22</v>
      </c>
      <c r="F18">
        <v>266664</v>
      </c>
      <c r="G18" t="s">
        <v>78</v>
      </c>
      <c r="H18" t="s">
        <v>24</v>
      </c>
      <c r="I18" t="s">
        <v>79</v>
      </c>
      <c r="K18" t="s">
        <v>74</v>
      </c>
      <c r="L18">
        <v>0</v>
      </c>
      <c r="M18" t="s">
        <v>28</v>
      </c>
      <c r="N18" t="s">
        <v>75</v>
      </c>
      <c r="P18" t="s">
        <v>30</v>
      </c>
    </row>
    <row r="19" spans="1:16" x14ac:dyDescent="0.25">
      <c r="A19" t="s">
        <v>80</v>
      </c>
      <c r="B19" t="s">
        <v>81</v>
      </c>
      <c r="C19" t="s">
        <v>33</v>
      </c>
      <c r="D19" t="s">
        <v>21</v>
      </c>
      <c r="E19" t="s">
        <v>22</v>
      </c>
      <c r="F19">
        <v>3600</v>
      </c>
      <c r="G19" t="s">
        <v>34</v>
      </c>
      <c r="H19" t="s">
        <v>24</v>
      </c>
      <c r="I19" t="s">
        <v>82</v>
      </c>
      <c r="J19" t="s">
        <v>67</v>
      </c>
      <c r="K19" t="s">
        <v>83</v>
      </c>
      <c r="L19">
        <v>0</v>
      </c>
      <c r="M19" t="s">
        <v>28</v>
      </c>
      <c r="N19" t="s">
        <v>65</v>
      </c>
      <c r="O19">
        <v>7.1999999999999998E-3</v>
      </c>
    </row>
    <row r="20" spans="1:16" x14ac:dyDescent="0.25">
      <c r="A20" t="s">
        <v>84</v>
      </c>
      <c r="B20" t="s">
        <v>85</v>
      </c>
      <c r="C20" t="s">
        <v>33</v>
      </c>
      <c r="D20" t="s">
        <v>21</v>
      </c>
      <c r="E20" t="s">
        <v>22</v>
      </c>
      <c r="F20">
        <v>962</v>
      </c>
      <c r="G20" t="s">
        <v>34</v>
      </c>
      <c r="H20" t="s">
        <v>24</v>
      </c>
      <c r="I20" t="s">
        <v>35</v>
      </c>
      <c r="J20" t="s">
        <v>36</v>
      </c>
      <c r="K20" t="s">
        <v>86</v>
      </c>
      <c r="L20">
        <v>1200</v>
      </c>
      <c r="M20" t="s">
        <v>28</v>
      </c>
      <c r="N20" t="s">
        <v>87</v>
      </c>
      <c r="O20">
        <v>8.4799999999999997E-3</v>
      </c>
    </row>
    <row r="21" spans="1:16" x14ac:dyDescent="0.25">
      <c r="A21" t="s">
        <v>88</v>
      </c>
      <c r="B21" t="s">
        <v>89</v>
      </c>
      <c r="C21" t="s">
        <v>33</v>
      </c>
      <c r="D21" t="s">
        <v>21</v>
      </c>
      <c r="E21" t="s">
        <v>22</v>
      </c>
      <c r="F21">
        <v>989</v>
      </c>
      <c r="G21" t="s">
        <v>34</v>
      </c>
      <c r="H21" t="s">
        <v>24</v>
      </c>
      <c r="I21" t="s">
        <v>35</v>
      </c>
      <c r="J21" t="s">
        <v>48</v>
      </c>
      <c r="K21" t="s">
        <v>90</v>
      </c>
      <c r="L21">
        <v>1141</v>
      </c>
      <c r="M21" t="s">
        <v>28</v>
      </c>
      <c r="N21" t="s">
        <v>29</v>
      </c>
      <c r="O21">
        <v>8.4799999999999997E-3</v>
      </c>
    </row>
    <row r="22" spans="1:16" x14ac:dyDescent="0.25">
      <c r="A22" t="s">
        <v>91</v>
      </c>
      <c r="B22" t="s">
        <v>92</v>
      </c>
      <c r="C22" t="s">
        <v>33</v>
      </c>
      <c r="D22" t="s">
        <v>21</v>
      </c>
      <c r="E22" t="s">
        <v>22</v>
      </c>
      <c r="F22">
        <v>4726</v>
      </c>
      <c r="G22" t="s">
        <v>23</v>
      </c>
      <c r="H22" t="s">
        <v>24</v>
      </c>
      <c r="I22" t="s">
        <v>35</v>
      </c>
      <c r="J22" t="s">
        <v>36</v>
      </c>
      <c r="K22" t="s">
        <v>93</v>
      </c>
      <c r="L22">
        <v>4900</v>
      </c>
      <c r="M22" t="s">
        <v>94</v>
      </c>
      <c r="N22" t="s">
        <v>94</v>
      </c>
      <c r="O22">
        <v>1E-3</v>
      </c>
    </row>
    <row r="23" spans="1:16" x14ac:dyDescent="0.25">
      <c r="A23" t="s">
        <v>95</v>
      </c>
      <c r="B23" t="s">
        <v>96</v>
      </c>
      <c r="C23" t="s">
        <v>77</v>
      </c>
      <c r="D23" t="s">
        <v>21</v>
      </c>
      <c r="E23" t="s">
        <v>22</v>
      </c>
      <c r="F23">
        <v>15000</v>
      </c>
      <c r="G23" t="s">
        <v>23</v>
      </c>
      <c r="H23" t="s">
        <v>24</v>
      </c>
      <c r="I23" t="s">
        <v>35</v>
      </c>
      <c r="K23" t="s">
        <v>97</v>
      </c>
      <c r="L23">
        <v>0</v>
      </c>
      <c r="M23" t="s">
        <v>94</v>
      </c>
      <c r="N23" t="s">
        <v>94</v>
      </c>
      <c r="P23" t="s">
        <v>30</v>
      </c>
    </row>
    <row r="24" spans="1:16" x14ac:dyDescent="0.25">
      <c r="A24" t="s">
        <v>98</v>
      </c>
      <c r="B24" t="s">
        <v>99</v>
      </c>
      <c r="C24" t="s">
        <v>33</v>
      </c>
      <c r="D24" t="s">
        <v>21</v>
      </c>
      <c r="E24" t="s">
        <v>22</v>
      </c>
      <c r="F24">
        <v>56250</v>
      </c>
      <c r="G24" t="s">
        <v>23</v>
      </c>
      <c r="H24" t="s">
        <v>24</v>
      </c>
      <c r="I24" t="s">
        <v>25</v>
      </c>
      <c r="J24" t="s">
        <v>36</v>
      </c>
      <c r="K24" t="s">
        <v>100</v>
      </c>
      <c r="L24">
        <v>15384</v>
      </c>
      <c r="M24" t="s">
        <v>94</v>
      </c>
      <c r="N24" t="s">
        <v>94</v>
      </c>
      <c r="O24">
        <v>1E-3</v>
      </c>
    </row>
    <row r="25" spans="1:16" x14ac:dyDescent="0.25">
      <c r="A25" t="s">
        <v>101</v>
      </c>
      <c r="B25" t="s">
        <v>102</v>
      </c>
      <c r="C25" t="s">
        <v>77</v>
      </c>
      <c r="D25" t="s">
        <v>21</v>
      </c>
      <c r="E25" t="s">
        <v>22</v>
      </c>
      <c r="F25">
        <v>719972</v>
      </c>
      <c r="G25" t="s">
        <v>23</v>
      </c>
      <c r="H25" t="s">
        <v>24</v>
      </c>
      <c r="I25" t="s">
        <v>25</v>
      </c>
      <c r="K25" t="s">
        <v>103</v>
      </c>
      <c r="L25">
        <v>0</v>
      </c>
      <c r="M25" t="s">
        <v>94</v>
      </c>
      <c r="N25" t="s">
        <v>94</v>
      </c>
      <c r="P25" t="s">
        <v>30</v>
      </c>
    </row>
    <row r="26" spans="1:16" x14ac:dyDescent="0.25">
      <c r="A26" t="s">
        <v>104</v>
      </c>
      <c r="B26" t="s">
        <v>102</v>
      </c>
      <c r="C26" t="s">
        <v>77</v>
      </c>
      <c r="D26" t="s">
        <v>21</v>
      </c>
      <c r="E26" t="s">
        <v>22</v>
      </c>
      <c r="F26">
        <v>1103</v>
      </c>
      <c r="G26" t="s">
        <v>23</v>
      </c>
      <c r="H26" t="s">
        <v>24</v>
      </c>
      <c r="I26" t="s">
        <v>25</v>
      </c>
      <c r="K26" t="s">
        <v>103</v>
      </c>
      <c r="L26">
        <v>0</v>
      </c>
      <c r="M26" t="s">
        <v>94</v>
      </c>
      <c r="N26" t="s">
        <v>94</v>
      </c>
      <c r="P26" t="s">
        <v>30</v>
      </c>
    </row>
    <row r="27" spans="1:16" x14ac:dyDescent="0.25">
      <c r="A27" t="s">
        <v>105</v>
      </c>
      <c r="B27" t="s">
        <v>106</v>
      </c>
      <c r="C27" t="s">
        <v>33</v>
      </c>
      <c r="D27" t="s">
        <v>21</v>
      </c>
      <c r="E27" t="s">
        <v>22</v>
      </c>
      <c r="F27">
        <v>8160</v>
      </c>
      <c r="G27" t="s">
        <v>23</v>
      </c>
      <c r="H27" t="s">
        <v>24</v>
      </c>
      <c r="I27" t="s">
        <v>35</v>
      </c>
      <c r="J27" t="s">
        <v>107</v>
      </c>
      <c r="K27" t="s">
        <v>108</v>
      </c>
      <c r="L27">
        <v>10176</v>
      </c>
      <c r="M27" t="s">
        <v>94</v>
      </c>
      <c r="N27" t="s">
        <v>94</v>
      </c>
      <c r="O27">
        <v>1E-3</v>
      </c>
    </row>
    <row r="28" spans="1:16" x14ac:dyDescent="0.25">
      <c r="A28" t="s">
        <v>109</v>
      </c>
      <c r="B28" t="s">
        <v>106</v>
      </c>
      <c r="C28" t="s">
        <v>33</v>
      </c>
      <c r="D28" t="s">
        <v>21</v>
      </c>
      <c r="E28" t="s">
        <v>22</v>
      </c>
      <c r="F28">
        <v>24480</v>
      </c>
      <c r="G28" t="s">
        <v>23</v>
      </c>
      <c r="H28" t="s">
        <v>24</v>
      </c>
      <c r="I28" t="s">
        <v>25</v>
      </c>
      <c r="J28" t="s">
        <v>44</v>
      </c>
      <c r="K28" t="s">
        <v>108</v>
      </c>
      <c r="L28">
        <v>0</v>
      </c>
      <c r="M28" t="s">
        <v>94</v>
      </c>
      <c r="N28" t="s">
        <v>94</v>
      </c>
      <c r="O28">
        <v>1E-3</v>
      </c>
    </row>
    <row r="29" spans="1:16" x14ac:dyDescent="0.25">
      <c r="A29" t="s">
        <v>110</v>
      </c>
      <c r="B29" t="s">
        <v>111</v>
      </c>
      <c r="C29" t="s">
        <v>77</v>
      </c>
      <c r="D29" t="s">
        <v>21</v>
      </c>
      <c r="E29" t="s">
        <v>22</v>
      </c>
      <c r="F29">
        <v>672000</v>
      </c>
      <c r="G29" t="s">
        <v>23</v>
      </c>
      <c r="H29" t="s">
        <v>24</v>
      </c>
      <c r="I29" t="s">
        <v>112</v>
      </c>
      <c r="K29" t="s">
        <v>113</v>
      </c>
      <c r="L29">
        <v>0</v>
      </c>
      <c r="M29" t="s">
        <v>94</v>
      </c>
      <c r="N29" t="s">
        <v>94</v>
      </c>
      <c r="P29" t="s">
        <v>30</v>
      </c>
    </row>
    <row r="30" spans="1:16" x14ac:dyDescent="0.25">
      <c r="A30" t="s">
        <v>114</v>
      </c>
      <c r="B30" t="s">
        <v>115</v>
      </c>
      <c r="C30" t="s">
        <v>33</v>
      </c>
      <c r="D30" t="s">
        <v>21</v>
      </c>
      <c r="E30" t="s">
        <v>22</v>
      </c>
      <c r="F30">
        <v>50625</v>
      </c>
      <c r="G30" t="s">
        <v>23</v>
      </c>
      <c r="H30" t="s">
        <v>24</v>
      </c>
      <c r="I30" t="s">
        <v>35</v>
      </c>
      <c r="J30" t="s">
        <v>36</v>
      </c>
      <c r="K30" t="s">
        <v>116</v>
      </c>
      <c r="L30">
        <v>88828</v>
      </c>
      <c r="M30" t="s">
        <v>94</v>
      </c>
      <c r="N30" t="s">
        <v>94</v>
      </c>
      <c r="O30">
        <v>1E-3</v>
      </c>
    </row>
    <row r="31" spans="1:16" x14ac:dyDescent="0.25">
      <c r="A31" t="s">
        <v>117</v>
      </c>
      <c r="B31" t="s">
        <v>115</v>
      </c>
      <c r="C31" t="s">
        <v>33</v>
      </c>
      <c r="D31" t="s">
        <v>21</v>
      </c>
      <c r="E31" t="s">
        <v>22</v>
      </c>
      <c r="F31">
        <v>191274</v>
      </c>
      <c r="G31" t="s">
        <v>23</v>
      </c>
      <c r="H31" t="s">
        <v>24</v>
      </c>
      <c r="I31" t="s">
        <v>35</v>
      </c>
      <c r="J31" t="s">
        <v>36</v>
      </c>
      <c r="K31" t="s">
        <v>116</v>
      </c>
      <c r="L31">
        <v>279634</v>
      </c>
      <c r="M31" t="s">
        <v>94</v>
      </c>
      <c r="N31" t="s">
        <v>94</v>
      </c>
      <c r="O31">
        <v>1E-3</v>
      </c>
    </row>
    <row r="32" spans="1:16" x14ac:dyDescent="0.25">
      <c r="A32" t="s">
        <v>118</v>
      </c>
      <c r="B32" t="s">
        <v>115</v>
      </c>
      <c r="C32" t="s">
        <v>77</v>
      </c>
      <c r="D32" t="s">
        <v>21</v>
      </c>
      <c r="E32" t="s">
        <v>22</v>
      </c>
      <c r="F32">
        <v>577886</v>
      </c>
      <c r="G32" t="s">
        <v>23</v>
      </c>
      <c r="H32" t="s">
        <v>24</v>
      </c>
      <c r="I32" t="s">
        <v>119</v>
      </c>
      <c r="K32" t="s">
        <v>116</v>
      </c>
      <c r="L32">
        <v>0</v>
      </c>
      <c r="M32" t="s">
        <v>94</v>
      </c>
      <c r="N32" t="s">
        <v>94</v>
      </c>
      <c r="P32" t="s">
        <v>30</v>
      </c>
    </row>
    <row r="33" spans="1:16" x14ac:dyDescent="0.25">
      <c r="A33" t="s">
        <v>120</v>
      </c>
      <c r="B33" t="s">
        <v>121</v>
      </c>
      <c r="C33" t="s">
        <v>77</v>
      </c>
      <c r="D33" t="s">
        <v>21</v>
      </c>
      <c r="E33" t="s">
        <v>22</v>
      </c>
      <c r="F33">
        <v>16537500</v>
      </c>
      <c r="G33" t="s">
        <v>23</v>
      </c>
      <c r="H33" t="s">
        <v>24</v>
      </c>
      <c r="I33" t="s">
        <v>122</v>
      </c>
      <c r="K33" t="s">
        <v>123</v>
      </c>
      <c r="L33">
        <v>0</v>
      </c>
      <c r="M33" t="s">
        <v>94</v>
      </c>
      <c r="N33" t="s">
        <v>94</v>
      </c>
      <c r="P33" t="s">
        <v>30</v>
      </c>
    </row>
    <row r="34" spans="1:16" x14ac:dyDescent="0.25">
      <c r="A34" t="s">
        <v>124</v>
      </c>
      <c r="B34" t="s">
        <v>125</v>
      </c>
      <c r="C34" t="s">
        <v>33</v>
      </c>
      <c r="D34" t="s">
        <v>21</v>
      </c>
      <c r="E34" t="s">
        <v>22</v>
      </c>
      <c r="F34">
        <v>35231</v>
      </c>
      <c r="G34" t="s">
        <v>23</v>
      </c>
      <c r="H34" t="s">
        <v>24</v>
      </c>
      <c r="I34" t="s">
        <v>35</v>
      </c>
      <c r="J34" t="s">
        <v>107</v>
      </c>
      <c r="K34" t="s">
        <v>126</v>
      </c>
      <c r="L34">
        <v>64032</v>
      </c>
      <c r="M34" t="s">
        <v>94</v>
      </c>
      <c r="N34" t="s">
        <v>94</v>
      </c>
      <c r="O34">
        <v>1E-3</v>
      </c>
    </row>
    <row r="35" spans="1:16" x14ac:dyDescent="0.25">
      <c r="A35" t="s">
        <v>127</v>
      </c>
      <c r="B35" t="s">
        <v>125</v>
      </c>
      <c r="C35" t="s">
        <v>33</v>
      </c>
      <c r="D35" t="s">
        <v>21</v>
      </c>
      <c r="E35" t="s">
        <v>22</v>
      </c>
      <c r="F35">
        <v>147864</v>
      </c>
      <c r="G35" t="s">
        <v>23</v>
      </c>
      <c r="H35" t="s">
        <v>24</v>
      </c>
      <c r="I35" t="s">
        <v>25</v>
      </c>
      <c r="J35" t="s">
        <v>36</v>
      </c>
      <c r="K35" t="s">
        <v>126</v>
      </c>
      <c r="L35">
        <v>67040</v>
      </c>
      <c r="M35" t="s">
        <v>94</v>
      </c>
      <c r="N35" t="s">
        <v>94</v>
      </c>
      <c r="O35">
        <v>1E-3</v>
      </c>
    </row>
    <row r="36" spans="1:16" x14ac:dyDescent="0.25">
      <c r="A36" t="s">
        <v>128</v>
      </c>
      <c r="B36" t="s">
        <v>125</v>
      </c>
      <c r="C36" t="s">
        <v>33</v>
      </c>
      <c r="D36" t="s">
        <v>21</v>
      </c>
      <c r="E36" t="s">
        <v>22</v>
      </c>
      <c r="F36">
        <v>17690</v>
      </c>
      <c r="G36" t="s">
        <v>23</v>
      </c>
      <c r="H36" t="s">
        <v>24</v>
      </c>
      <c r="I36" t="s">
        <v>25</v>
      </c>
      <c r="J36" t="s">
        <v>36</v>
      </c>
      <c r="K36" t="s">
        <v>126</v>
      </c>
      <c r="L36">
        <v>15328</v>
      </c>
      <c r="M36" t="s">
        <v>94</v>
      </c>
      <c r="N36" t="s">
        <v>94</v>
      </c>
      <c r="O36">
        <v>1E-3</v>
      </c>
    </row>
    <row r="37" spans="1:16" x14ac:dyDescent="0.25">
      <c r="A37" t="s">
        <v>129</v>
      </c>
      <c r="B37" t="s">
        <v>125</v>
      </c>
      <c r="C37" t="s">
        <v>33</v>
      </c>
      <c r="D37" t="s">
        <v>21</v>
      </c>
      <c r="E37" t="s">
        <v>22</v>
      </c>
      <c r="F37">
        <v>76672</v>
      </c>
      <c r="G37" t="s">
        <v>23</v>
      </c>
      <c r="H37" t="s">
        <v>24</v>
      </c>
      <c r="I37" t="s">
        <v>25</v>
      </c>
      <c r="J37" t="s">
        <v>36</v>
      </c>
      <c r="K37" t="s">
        <v>126</v>
      </c>
      <c r="L37">
        <v>78416</v>
      </c>
      <c r="M37" t="s">
        <v>94</v>
      </c>
      <c r="N37" t="s">
        <v>94</v>
      </c>
      <c r="O37">
        <v>1E-3</v>
      </c>
    </row>
    <row r="38" spans="1:16" x14ac:dyDescent="0.25">
      <c r="A38" t="s">
        <v>130</v>
      </c>
      <c r="B38" t="s">
        <v>125</v>
      </c>
      <c r="C38" t="s">
        <v>33</v>
      </c>
      <c r="D38" t="s">
        <v>21</v>
      </c>
      <c r="E38" t="s">
        <v>22</v>
      </c>
      <c r="F38">
        <v>30073</v>
      </c>
      <c r="G38" t="s">
        <v>23</v>
      </c>
      <c r="H38" t="s">
        <v>24</v>
      </c>
      <c r="I38" t="s">
        <v>35</v>
      </c>
      <c r="J38" t="s">
        <v>36</v>
      </c>
      <c r="K38" t="s">
        <v>126</v>
      </c>
      <c r="L38">
        <v>15360</v>
      </c>
      <c r="M38" t="s">
        <v>94</v>
      </c>
      <c r="N38" t="s">
        <v>94</v>
      </c>
      <c r="O38">
        <v>1E-3</v>
      </c>
    </row>
    <row r="39" spans="1:16" x14ac:dyDescent="0.25">
      <c r="A39" t="s">
        <v>131</v>
      </c>
      <c r="B39" t="s">
        <v>125</v>
      </c>
      <c r="C39" t="s">
        <v>33</v>
      </c>
      <c r="D39" t="s">
        <v>21</v>
      </c>
      <c r="E39" t="s">
        <v>22</v>
      </c>
      <c r="F39">
        <v>24521</v>
      </c>
      <c r="G39" t="s">
        <v>23</v>
      </c>
      <c r="H39" t="s">
        <v>24</v>
      </c>
      <c r="I39" t="s">
        <v>25</v>
      </c>
      <c r="J39" t="s">
        <v>36</v>
      </c>
      <c r="K39" t="s">
        <v>126</v>
      </c>
      <c r="L39">
        <v>25819.68</v>
      </c>
      <c r="M39" t="s">
        <v>94</v>
      </c>
      <c r="N39" t="s">
        <v>94</v>
      </c>
      <c r="O39">
        <v>1E-3</v>
      </c>
    </row>
    <row r="40" spans="1:16" x14ac:dyDescent="0.25">
      <c r="A40" t="s">
        <v>132</v>
      </c>
      <c r="B40" t="s">
        <v>125</v>
      </c>
      <c r="C40" t="s">
        <v>77</v>
      </c>
      <c r="D40" t="s">
        <v>21</v>
      </c>
      <c r="E40" t="s">
        <v>22</v>
      </c>
      <c r="F40">
        <v>16537</v>
      </c>
      <c r="G40" t="s">
        <v>23</v>
      </c>
      <c r="H40" t="s">
        <v>24</v>
      </c>
      <c r="I40" t="s">
        <v>35</v>
      </c>
      <c r="K40" t="s">
        <v>126</v>
      </c>
      <c r="L40">
        <v>0</v>
      </c>
      <c r="M40" t="s">
        <v>94</v>
      </c>
      <c r="N40" t="s">
        <v>94</v>
      </c>
      <c r="P40" t="s">
        <v>30</v>
      </c>
    </row>
    <row r="41" spans="1:16" x14ac:dyDescent="0.25">
      <c r="A41" t="s">
        <v>133</v>
      </c>
      <c r="B41" t="s">
        <v>125</v>
      </c>
      <c r="C41" t="s">
        <v>77</v>
      </c>
      <c r="D41" t="s">
        <v>21</v>
      </c>
      <c r="E41" t="s">
        <v>22</v>
      </c>
      <c r="F41">
        <v>8864</v>
      </c>
      <c r="G41" t="s">
        <v>23</v>
      </c>
      <c r="H41" t="s">
        <v>24</v>
      </c>
      <c r="I41" t="s">
        <v>35</v>
      </c>
      <c r="K41" t="s">
        <v>126</v>
      </c>
      <c r="L41">
        <v>0</v>
      </c>
      <c r="M41" t="s">
        <v>94</v>
      </c>
      <c r="N41" t="s">
        <v>94</v>
      </c>
      <c r="P41" t="s">
        <v>30</v>
      </c>
    </row>
    <row r="42" spans="1:16" x14ac:dyDescent="0.25">
      <c r="A42" t="s">
        <v>134</v>
      </c>
      <c r="B42" t="s">
        <v>135</v>
      </c>
      <c r="C42" t="s">
        <v>77</v>
      </c>
      <c r="D42" t="s">
        <v>21</v>
      </c>
      <c r="E42" t="s">
        <v>22</v>
      </c>
      <c r="F42">
        <v>13000</v>
      </c>
      <c r="G42" t="s">
        <v>23</v>
      </c>
      <c r="H42" t="s">
        <v>24</v>
      </c>
      <c r="I42" t="s">
        <v>35</v>
      </c>
      <c r="K42" t="s">
        <v>136</v>
      </c>
      <c r="L42">
        <v>0</v>
      </c>
      <c r="M42" t="s">
        <v>94</v>
      </c>
      <c r="N42" t="s">
        <v>94</v>
      </c>
      <c r="P42" t="s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6"/>
  <sheetViews>
    <sheetView workbookViewId="0"/>
  </sheetViews>
  <sheetFormatPr defaultRowHeight="15" x14ac:dyDescent="0.25"/>
  <sheetData>
    <row r="1" spans="1:18" x14ac:dyDescent="0.25">
      <c r="A1" t="s">
        <v>137</v>
      </c>
      <c r="B1" t="s">
        <v>138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  <c r="I1" t="s">
        <v>145</v>
      </c>
      <c r="J1" t="s">
        <v>146</v>
      </c>
      <c r="K1" t="s">
        <v>147</v>
      </c>
      <c r="L1" t="s">
        <v>148</v>
      </c>
      <c r="M1" t="s">
        <v>149</v>
      </c>
      <c r="N1" t="s">
        <v>150</v>
      </c>
      <c r="O1" t="s">
        <v>151</v>
      </c>
      <c r="P1" t="s">
        <v>152</v>
      </c>
      <c r="Q1" t="s">
        <v>153</v>
      </c>
      <c r="R1" t="s">
        <v>154</v>
      </c>
    </row>
    <row r="2" spans="1:18" x14ac:dyDescent="0.25">
      <c r="A2" t="s">
        <v>116</v>
      </c>
      <c r="B2">
        <v>241.899</v>
      </c>
      <c r="C2">
        <v>368.46199999999999</v>
      </c>
      <c r="D2" t="s">
        <v>41</v>
      </c>
      <c r="E2">
        <v>188.06399999999999</v>
      </c>
      <c r="F2">
        <v>139.66399999999999</v>
      </c>
      <c r="G2" t="s">
        <v>86</v>
      </c>
      <c r="H2">
        <v>8.1577599999999997</v>
      </c>
      <c r="I2">
        <v>10.176</v>
      </c>
      <c r="J2" t="s">
        <v>55</v>
      </c>
      <c r="K2">
        <v>4.008</v>
      </c>
      <c r="L2">
        <v>3.7631999999999999</v>
      </c>
      <c r="M2" t="s">
        <v>74</v>
      </c>
      <c r="N2">
        <v>9.7199999999999989</v>
      </c>
      <c r="O2">
        <v>8.64</v>
      </c>
      <c r="P2" t="s">
        <v>64</v>
      </c>
      <c r="Q2">
        <v>32.4</v>
      </c>
      <c r="R2">
        <v>11.231999999999999</v>
      </c>
    </row>
    <row r="3" spans="1:18" x14ac:dyDescent="0.25">
      <c r="A3" t="s">
        <v>93</v>
      </c>
      <c r="B3">
        <v>4.726</v>
      </c>
      <c r="C3">
        <v>4.9000000000000004</v>
      </c>
      <c r="D3" t="s">
        <v>90</v>
      </c>
      <c r="E3">
        <v>8.3867200000000004</v>
      </c>
      <c r="F3">
        <v>9.6756799999999998</v>
      </c>
      <c r="P3" t="s">
        <v>83</v>
      </c>
      <c r="Q3">
        <v>25.92</v>
      </c>
      <c r="R3">
        <v>0</v>
      </c>
    </row>
    <row r="4" spans="1:18" x14ac:dyDescent="0.25">
      <c r="A4" t="s">
        <v>100</v>
      </c>
      <c r="B4">
        <v>56.25</v>
      </c>
      <c r="C4">
        <v>15.384</v>
      </c>
      <c r="D4" t="s">
        <v>59</v>
      </c>
      <c r="E4">
        <v>69.938400000000001</v>
      </c>
      <c r="F4">
        <v>86.847999999999999</v>
      </c>
      <c r="P4" t="s">
        <v>71</v>
      </c>
      <c r="Q4">
        <v>2.1419999999999999</v>
      </c>
      <c r="R4">
        <v>2.52</v>
      </c>
    </row>
    <row r="5" spans="1:18" x14ac:dyDescent="0.25">
      <c r="A5" t="s">
        <v>108</v>
      </c>
      <c r="B5">
        <v>32.64</v>
      </c>
      <c r="C5">
        <v>10.176</v>
      </c>
      <c r="D5" t="s">
        <v>37</v>
      </c>
      <c r="E5">
        <v>21.96</v>
      </c>
      <c r="F5">
        <v>15.12</v>
      </c>
    </row>
    <row r="6" spans="1:18" x14ac:dyDescent="0.25">
      <c r="A6" t="s">
        <v>126</v>
      </c>
      <c r="B6">
        <v>332.05099999999999</v>
      </c>
      <c r="C6">
        <v>265.99567999999999</v>
      </c>
      <c r="D6" t="s">
        <v>51</v>
      </c>
      <c r="E6">
        <v>9.638399999999999</v>
      </c>
      <c r="F6">
        <v>14.688000000000001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0" customWidth="1"/>
    <col min="3" max="3" width="36" customWidth="1"/>
    <col min="4" max="4" width="15" customWidth="1"/>
    <col min="5" max="5" width="16" customWidth="1"/>
    <col min="6" max="6" width="19" customWidth="1"/>
    <col min="7" max="7" width="14" customWidth="1"/>
    <col min="8" max="8" width="10" customWidth="1"/>
  </cols>
  <sheetData>
    <row r="1" spans="1:8" x14ac:dyDescent="0.25">
      <c r="A1" s="1" t="s">
        <v>155</v>
      </c>
      <c r="B1" s="1" t="s">
        <v>3</v>
      </c>
      <c r="C1" s="1" t="s">
        <v>12</v>
      </c>
      <c r="D1" s="1" t="s">
        <v>14</v>
      </c>
      <c r="E1" s="1" t="s">
        <v>15</v>
      </c>
      <c r="F1" s="1" t="s">
        <v>156</v>
      </c>
      <c r="G1" s="1" t="s">
        <v>157</v>
      </c>
      <c r="H1" s="1" t="s">
        <v>158</v>
      </c>
    </row>
    <row r="2" spans="1:8" x14ac:dyDescent="0.25">
      <c r="A2" t="s">
        <v>24</v>
      </c>
      <c r="B2" t="s">
        <v>115</v>
      </c>
      <c r="C2" t="s">
        <v>116</v>
      </c>
      <c r="D2" t="s">
        <v>94</v>
      </c>
      <c r="E2" t="s">
        <v>94</v>
      </c>
      <c r="F2">
        <v>241.899</v>
      </c>
      <c r="G2">
        <v>368.46199999999999</v>
      </c>
      <c r="H2" s="2" t="s">
        <v>159</v>
      </c>
    </row>
    <row r="3" spans="1:8" x14ac:dyDescent="0.25">
      <c r="A3" t="s">
        <v>24</v>
      </c>
      <c r="B3" t="s">
        <v>92</v>
      </c>
      <c r="C3" t="s">
        <v>93</v>
      </c>
      <c r="D3" t="s">
        <v>94</v>
      </c>
      <c r="E3" t="s">
        <v>94</v>
      </c>
      <c r="F3">
        <v>4.726</v>
      </c>
      <c r="G3">
        <v>4.9000000000000004</v>
      </c>
      <c r="H3" s="2" t="s">
        <v>159</v>
      </c>
    </row>
    <row r="4" spans="1:8" x14ac:dyDescent="0.25">
      <c r="A4" t="s">
        <v>24</v>
      </c>
      <c r="B4" t="s">
        <v>99</v>
      </c>
      <c r="C4" t="s">
        <v>100</v>
      </c>
      <c r="D4" t="s">
        <v>94</v>
      </c>
      <c r="E4" t="s">
        <v>94</v>
      </c>
      <c r="F4">
        <v>56.25</v>
      </c>
      <c r="G4">
        <v>15.384</v>
      </c>
      <c r="H4" s="3" t="s">
        <v>160</v>
      </c>
    </row>
    <row r="5" spans="1:8" x14ac:dyDescent="0.25">
      <c r="A5" t="s">
        <v>24</v>
      </c>
      <c r="B5" t="s">
        <v>106</v>
      </c>
      <c r="C5" t="s">
        <v>108</v>
      </c>
      <c r="D5" t="s">
        <v>94</v>
      </c>
      <c r="E5" t="s">
        <v>94</v>
      </c>
      <c r="F5">
        <v>32.64</v>
      </c>
      <c r="G5">
        <v>10.176</v>
      </c>
      <c r="H5" s="3" t="s">
        <v>160</v>
      </c>
    </row>
    <row r="6" spans="1:8" x14ac:dyDescent="0.25">
      <c r="A6" t="s">
        <v>24</v>
      </c>
      <c r="B6" t="s">
        <v>125</v>
      </c>
      <c r="C6" t="s">
        <v>126</v>
      </c>
      <c r="D6" t="s">
        <v>94</v>
      </c>
      <c r="E6" t="s">
        <v>94</v>
      </c>
      <c r="F6">
        <v>332.05099999999999</v>
      </c>
      <c r="G6">
        <v>265.99567999999999</v>
      </c>
      <c r="H6" s="3" t="s">
        <v>160</v>
      </c>
    </row>
    <row r="7" spans="1:8" x14ac:dyDescent="0.25">
      <c r="A7" t="s">
        <v>24</v>
      </c>
      <c r="B7" t="s">
        <v>39</v>
      </c>
      <c r="C7" t="s">
        <v>41</v>
      </c>
      <c r="D7" t="s">
        <v>28</v>
      </c>
      <c r="E7" t="s">
        <v>29</v>
      </c>
      <c r="F7">
        <v>188.06399999999999</v>
      </c>
      <c r="G7">
        <v>139.66399999999999</v>
      </c>
      <c r="H7" s="3" t="s">
        <v>160</v>
      </c>
    </row>
    <row r="8" spans="1:8" x14ac:dyDescent="0.25">
      <c r="A8" t="s">
        <v>24</v>
      </c>
      <c r="B8" t="s">
        <v>89</v>
      </c>
      <c r="C8" t="s">
        <v>90</v>
      </c>
      <c r="D8" t="s">
        <v>28</v>
      </c>
      <c r="E8" t="s">
        <v>29</v>
      </c>
      <c r="F8">
        <v>8.3867200000000004</v>
      </c>
      <c r="G8">
        <v>9.6756799999999998</v>
      </c>
      <c r="H8" s="2" t="s">
        <v>159</v>
      </c>
    </row>
    <row r="9" spans="1:8" x14ac:dyDescent="0.25">
      <c r="A9" t="s">
        <v>24</v>
      </c>
      <c r="B9" t="s">
        <v>58</v>
      </c>
      <c r="C9" t="s">
        <v>59</v>
      </c>
      <c r="D9" t="s">
        <v>28</v>
      </c>
      <c r="E9" t="s">
        <v>29</v>
      </c>
      <c r="F9">
        <v>69.938400000000001</v>
      </c>
      <c r="G9">
        <v>86.847999999999999</v>
      </c>
      <c r="H9" s="2" t="s">
        <v>159</v>
      </c>
    </row>
    <row r="10" spans="1:8" x14ac:dyDescent="0.25">
      <c r="A10" t="s">
        <v>24</v>
      </c>
      <c r="B10" t="s">
        <v>32</v>
      </c>
      <c r="C10" t="s">
        <v>37</v>
      </c>
      <c r="D10" t="s">
        <v>28</v>
      </c>
      <c r="E10" t="s">
        <v>29</v>
      </c>
      <c r="F10">
        <v>21.96</v>
      </c>
      <c r="G10">
        <v>15.12</v>
      </c>
      <c r="H10" s="3" t="s">
        <v>160</v>
      </c>
    </row>
    <row r="11" spans="1:8" x14ac:dyDescent="0.25">
      <c r="A11" t="s">
        <v>24</v>
      </c>
      <c r="B11" t="s">
        <v>50</v>
      </c>
      <c r="C11" t="s">
        <v>51</v>
      </c>
      <c r="D11" t="s">
        <v>28</v>
      </c>
      <c r="E11" t="s">
        <v>29</v>
      </c>
      <c r="F11">
        <v>9.638399999999999</v>
      </c>
      <c r="G11">
        <v>14.688000000000001</v>
      </c>
      <c r="H11" s="2" t="s">
        <v>159</v>
      </c>
    </row>
    <row r="12" spans="1:8" x14ac:dyDescent="0.25">
      <c r="A12" t="s">
        <v>24</v>
      </c>
      <c r="B12" t="s">
        <v>85</v>
      </c>
      <c r="C12" t="s">
        <v>86</v>
      </c>
      <c r="D12" t="s">
        <v>28</v>
      </c>
      <c r="E12" t="s">
        <v>87</v>
      </c>
      <c r="F12">
        <v>8.1577599999999997</v>
      </c>
      <c r="G12">
        <v>10.176</v>
      </c>
      <c r="H12" s="2" t="s">
        <v>159</v>
      </c>
    </row>
    <row r="13" spans="1:8" x14ac:dyDescent="0.25">
      <c r="A13" t="s">
        <v>24</v>
      </c>
      <c r="B13" t="s">
        <v>53</v>
      </c>
      <c r="C13" t="s">
        <v>55</v>
      </c>
      <c r="D13" t="s">
        <v>28</v>
      </c>
      <c r="E13" t="s">
        <v>56</v>
      </c>
      <c r="F13">
        <v>4.008</v>
      </c>
      <c r="G13">
        <v>3.7631999999999999</v>
      </c>
      <c r="H13" s="3" t="s">
        <v>160</v>
      </c>
    </row>
    <row r="14" spans="1:8" x14ac:dyDescent="0.25">
      <c r="A14" t="s">
        <v>24</v>
      </c>
      <c r="B14" t="s">
        <v>73</v>
      </c>
      <c r="C14" t="s">
        <v>74</v>
      </c>
      <c r="D14" t="s">
        <v>28</v>
      </c>
      <c r="E14" t="s">
        <v>75</v>
      </c>
      <c r="F14">
        <v>9.7199999999999989</v>
      </c>
      <c r="G14">
        <v>8.64</v>
      </c>
      <c r="H14" s="3" t="s">
        <v>160</v>
      </c>
    </row>
    <row r="15" spans="1:8" x14ac:dyDescent="0.25">
      <c r="A15" t="s">
        <v>24</v>
      </c>
      <c r="B15" t="s">
        <v>62</v>
      </c>
      <c r="C15" t="s">
        <v>64</v>
      </c>
      <c r="D15" t="s">
        <v>28</v>
      </c>
      <c r="E15" t="s">
        <v>65</v>
      </c>
      <c r="F15">
        <v>32.4</v>
      </c>
      <c r="G15">
        <v>11.231999999999999</v>
      </c>
      <c r="H15" s="3" t="s">
        <v>160</v>
      </c>
    </row>
    <row r="16" spans="1:8" x14ac:dyDescent="0.25">
      <c r="A16" t="s">
        <v>24</v>
      </c>
      <c r="B16" t="s">
        <v>81</v>
      </c>
      <c r="C16" t="s">
        <v>83</v>
      </c>
      <c r="D16" t="s">
        <v>28</v>
      </c>
      <c r="E16" t="s">
        <v>65</v>
      </c>
      <c r="F16">
        <v>25.92</v>
      </c>
      <c r="G16">
        <v>0</v>
      </c>
      <c r="H16" s="3" t="s">
        <v>160</v>
      </c>
    </row>
    <row r="17" spans="1:8" x14ac:dyDescent="0.25">
      <c r="A17" t="s">
        <v>24</v>
      </c>
      <c r="B17" t="s">
        <v>69</v>
      </c>
      <c r="C17" t="s">
        <v>71</v>
      </c>
      <c r="D17" t="s">
        <v>28</v>
      </c>
      <c r="E17" t="s">
        <v>65</v>
      </c>
      <c r="F17">
        <v>2.1419999999999999</v>
      </c>
      <c r="G17">
        <v>2.52</v>
      </c>
      <c r="H17" s="2" t="s">
        <v>159</v>
      </c>
    </row>
  </sheetData>
  <autoFilter ref="A1:H17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2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6" x14ac:dyDescent="0.25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</row>
    <row r="2" spans="1:16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17000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3137</v>
      </c>
      <c r="M2" t="s">
        <v>28</v>
      </c>
      <c r="N2" t="s">
        <v>29</v>
      </c>
      <c r="P2" t="s">
        <v>30</v>
      </c>
    </row>
    <row r="3" spans="1:16" x14ac:dyDescent="0.25">
      <c r="A3" t="s">
        <v>76</v>
      </c>
      <c r="B3" t="s">
        <v>73</v>
      </c>
      <c r="C3" t="s">
        <v>77</v>
      </c>
      <c r="D3" t="s">
        <v>21</v>
      </c>
      <c r="E3" t="s">
        <v>22</v>
      </c>
      <c r="F3">
        <v>266664</v>
      </c>
      <c r="G3" t="s">
        <v>78</v>
      </c>
      <c r="H3" t="s">
        <v>24</v>
      </c>
      <c r="I3" t="s">
        <v>79</v>
      </c>
      <c r="K3" t="s">
        <v>74</v>
      </c>
      <c r="L3">
        <v>0</v>
      </c>
      <c r="M3" t="s">
        <v>28</v>
      </c>
      <c r="N3" t="s">
        <v>75</v>
      </c>
      <c r="P3" t="s">
        <v>30</v>
      </c>
    </row>
    <row r="4" spans="1:16" x14ac:dyDescent="0.25">
      <c r="A4" t="s">
        <v>95</v>
      </c>
      <c r="B4" t="s">
        <v>96</v>
      </c>
      <c r="C4" t="s">
        <v>77</v>
      </c>
      <c r="D4" t="s">
        <v>21</v>
      </c>
      <c r="E4" t="s">
        <v>22</v>
      </c>
      <c r="F4">
        <v>15000</v>
      </c>
      <c r="G4" t="s">
        <v>23</v>
      </c>
      <c r="H4" t="s">
        <v>24</v>
      </c>
      <c r="I4" t="s">
        <v>35</v>
      </c>
      <c r="K4" t="s">
        <v>97</v>
      </c>
      <c r="L4">
        <v>0</v>
      </c>
      <c r="M4" t="s">
        <v>94</v>
      </c>
      <c r="N4" t="s">
        <v>94</v>
      </c>
      <c r="P4" t="s">
        <v>30</v>
      </c>
    </row>
    <row r="5" spans="1:16" x14ac:dyDescent="0.25">
      <c r="A5" t="s">
        <v>101</v>
      </c>
      <c r="B5" t="s">
        <v>102</v>
      </c>
      <c r="C5" t="s">
        <v>77</v>
      </c>
      <c r="D5" t="s">
        <v>21</v>
      </c>
      <c r="E5" t="s">
        <v>22</v>
      </c>
      <c r="F5">
        <v>719972</v>
      </c>
      <c r="G5" t="s">
        <v>23</v>
      </c>
      <c r="H5" t="s">
        <v>24</v>
      </c>
      <c r="I5" t="s">
        <v>25</v>
      </c>
      <c r="K5" t="s">
        <v>103</v>
      </c>
      <c r="L5">
        <v>0</v>
      </c>
      <c r="M5" t="s">
        <v>94</v>
      </c>
      <c r="N5" t="s">
        <v>94</v>
      </c>
      <c r="P5" t="s">
        <v>30</v>
      </c>
    </row>
    <row r="6" spans="1:16" x14ac:dyDescent="0.25">
      <c r="A6" t="s">
        <v>104</v>
      </c>
      <c r="B6" t="s">
        <v>102</v>
      </c>
      <c r="C6" t="s">
        <v>77</v>
      </c>
      <c r="D6" t="s">
        <v>21</v>
      </c>
      <c r="E6" t="s">
        <v>22</v>
      </c>
      <c r="F6">
        <v>1103</v>
      </c>
      <c r="G6" t="s">
        <v>23</v>
      </c>
      <c r="H6" t="s">
        <v>24</v>
      </c>
      <c r="I6" t="s">
        <v>25</v>
      </c>
      <c r="K6" t="s">
        <v>103</v>
      </c>
      <c r="L6">
        <v>0</v>
      </c>
      <c r="M6" t="s">
        <v>94</v>
      </c>
      <c r="N6" t="s">
        <v>94</v>
      </c>
      <c r="P6" t="s">
        <v>30</v>
      </c>
    </row>
    <row r="7" spans="1:16" x14ac:dyDescent="0.25">
      <c r="A7" t="s">
        <v>110</v>
      </c>
      <c r="B7" t="s">
        <v>111</v>
      </c>
      <c r="C7" t="s">
        <v>77</v>
      </c>
      <c r="D7" t="s">
        <v>21</v>
      </c>
      <c r="E7" t="s">
        <v>22</v>
      </c>
      <c r="F7">
        <v>672000</v>
      </c>
      <c r="G7" t="s">
        <v>23</v>
      </c>
      <c r="H7" t="s">
        <v>24</v>
      </c>
      <c r="I7" t="s">
        <v>112</v>
      </c>
      <c r="K7" t="s">
        <v>113</v>
      </c>
      <c r="L7">
        <v>0</v>
      </c>
      <c r="M7" t="s">
        <v>94</v>
      </c>
      <c r="N7" t="s">
        <v>94</v>
      </c>
      <c r="P7" t="s">
        <v>30</v>
      </c>
    </row>
    <row r="8" spans="1:16" x14ac:dyDescent="0.25">
      <c r="A8" t="s">
        <v>118</v>
      </c>
      <c r="B8" t="s">
        <v>115</v>
      </c>
      <c r="C8" t="s">
        <v>77</v>
      </c>
      <c r="D8" t="s">
        <v>21</v>
      </c>
      <c r="E8" t="s">
        <v>22</v>
      </c>
      <c r="F8">
        <v>577886</v>
      </c>
      <c r="G8" t="s">
        <v>23</v>
      </c>
      <c r="H8" t="s">
        <v>24</v>
      </c>
      <c r="I8" t="s">
        <v>119</v>
      </c>
      <c r="K8" t="s">
        <v>116</v>
      </c>
      <c r="L8">
        <v>0</v>
      </c>
      <c r="M8" t="s">
        <v>94</v>
      </c>
      <c r="N8" t="s">
        <v>94</v>
      </c>
      <c r="P8" t="s">
        <v>30</v>
      </c>
    </row>
    <row r="9" spans="1:16" x14ac:dyDescent="0.25">
      <c r="A9" t="s">
        <v>120</v>
      </c>
      <c r="B9" t="s">
        <v>121</v>
      </c>
      <c r="C9" t="s">
        <v>77</v>
      </c>
      <c r="D9" t="s">
        <v>21</v>
      </c>
      <c r="E9" t="s">
        <v>22</v>
      </c>
      <c r="F9">
        <v>16537500</v>
      </c>
      <c r="G9" t="s">
        <v>23</v>
      </c>
      <c r="H9" t="s">
        <v>24</v>
      </c>
      <c r="I9" t="s">
        <v>122</v>
      </c>
      <c r="K9" t="s">
        <v>123</v>
      </c>
      <c r="L9">
        <v>0</v>
      </c>
      <c r="M9" t="s">
        <v>94</v>
      </c>
      <c r="N9" t="s">
        <v>94</v>
      </c>
      <c r="P9" t="s">
        <v>30</v>
      </c>
    </row>
    <row r="10" spans="1:16" x14ac:dyDescent="0.25">
      <c r="A10" t="s">
        <v>132</v>
      </c>
      <c r="B10" t="s">
        <v>125</v>
      </c>
      <c r="C10" t="s">
        <v>77</v>
      </c>
      <c r="D10" t="s">
        <v>21</v>
      </c>
      <c r="E10" t="s">
        <v>22</v>
      </c>
      <c r="F10">
        <v>16537</v>
      </c>
      <c r="G10" t="s">
        <v>23</v>
      </c>
      <c r="H10" t="s">
        <v>24</v>
      </c>
      <c r="I10" t="s">
        <v>35</v>
      </c>
      <c r="K10" t="s">
        <v>126</v>
      </c>
      <c r="L10">
        <v>0</v>
      </c>
      <c r="M10" t="s">
        <v>94</v>
      </c>
      <c r="N10" t="s">
        <v>94</v>
      </c>
      <c r="P10" t="s">
        <v>30</v>
      </c>
    </row>
    <row r="11" spans="1:16" x14ac:dyDescent="0.25">
      <c r="A11" t="s">
        <v>133</v>
      </c>
      <c r="B11" t="s">
        <v>125</v>
      </c>
      <c r="C11" t="s">
        <v>77</v>
      </c>
      <c r="D11" t="s">
        <v>21</v>
      </c>
      <c r="E11" t="s">
        <v>22</v>
      </c>
      <c r="F11">
        <v>8864</v>
      </c>
      <c r="G11" t="s">
        <v>23</v>
      </c>
      <c r="H11" t="s">
        <v>24</v>
      </c>
      <c r="I11" t="s">
        <v>35</v>
      </c>
      <c r="K11" t="s">
        <v>126</v>
      </c>
      <c r="L11">
        <v>0</v>
      </c>
      <c r="M11" t="s">
        <v>94</v>
      </c>
      <c r="N11" t="s">
        <v>94</v>
      </c>
      <c r="P11" t="s">
        <v>30</v>
      </c>
    </row>
    <row r="12" spans="1:16" x14ac:dyDescent="0.25">
      <c r="A12" t="s">
        <v>134</v>
      </c>
      <c r="B12" t="s">
        <v>135</v>
      </c>
      <c r="C12" t="s">
        <v>77</v>
      </c>
      <c r="D12" t="s">
        <v>21</v>
      </c>
      <c r="E12" t="s">
        <v>22</v>
      </c>
      <c r="F12">
        <v>13000</v>
      </c>
      <c r="G12" t="s">
        <v>23</v>
      </c>
      <c r="H12" t="s">
        <v>24</v>
      </c>
      <c r="I12" t="s">
        <v>35</v>
      </c>
      <c r="K12" t="s">
        <v>136</v>
      </c>
      <c r="L12">
        <v>0</v>
      </c>
      <c r="M12" t="s">
        <v>94</v>
      </c>
      <c r="N12" t="s">
        <v>94</v>
      </c>
      <c r="P12" t="s">
        <v>30</v>
      </c>
    </row>
  </sheetData>
  <autoFilter ref="A1:P12" xr:uid="{00000000-0009-0000-0000-000006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ada0a2f-b917-4d51-b0d0-d418a10c8b23}" enabled="1" method="Standard" siteId="{12a3af23-a769-4654-847f-958f3d479f4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WTD_Pivot</vt:lpstr>
      <vt:lpstr>Source_Data</vt:lpstr>
      <vt:lpstr>Chart_Data</vt:lpstr>
      <vt:lpstr>Breakdown</vt:lpstr>
      <vt:lpstr>Exceptions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Jompe,Emmanuel,NG-Sagamu, Ogun State</cp:lastModifiedBy>
  <dcterms:created xsi:type="dcterms:W3CDTF">2026-10-27T07:17:41Z</dcterms:created>
  <dcterms:modified xsi:type="dcterms:W3CDTF">2026-10-27T07:17:44Z</dcterms:modified>
</cp:coreProperties>
</file>